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slicers/slicer2.xml" ContentType="application/vnd.ms-excel.slicer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abriel Del Valle\Documents\Dashboard Excel\"/>
    </mc:Choice>
  </mc:AlternateContent>
  <xr:revisionPtr revIDLastSave="0" documentId="13_ncr:1_{2952211C-2E6A-463E-ACE7-B6AF64462D08}" xr6:coauthVersionLast="47" xr6:coauthVersionMax="47" xr10:uidLastSave="{00000000-0000-0000-0000-000000000000}"/>
  <bookViews>
    <workbookView xWindow="-108" yWindow="-108" windowWidth="23256" windowHeight="12456" xr2:uid="{30462703-2BEF-4423-8204-5C3F86B1832B}"/>
  </bookViews>
  <sheets>
    <sheet name="Hoja1" sheetId="2" r:id="rId1"/>
    <sheet name="Tablas Dinamicas" sheetId="4" r:id="rId2"/>
    <sheet name="Dashboard" sheetId="5" state="hidden" r:id="rId3"/>
    <sheet name="Dashboard Final" sheetId="7" r:id="rId4"/>
  </sheets>
  <definedNames>
    <definedName name="_xlcn.WorksheetConnection_ProyectoBimestralFundamentosdeSistemasdeInformación.xlsxVentas" hidden="1">Ventas[]</definedName>
    <definedName name="Slicer_Ciudad">#N/A</definedName>
    <definedName name="Slicer_Mes">#N/A</definedName>
    <definedName name="Slicer_Nombre_representante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as" name="Ventas" connection="WorksheetConnection_Proyecto Bimestral - Fundamentos de Sistemas de Información.xlsx!Vent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6E7088-9ADB-4BAB-BE68-F9C32840152D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A450325-D238-4325-8855-13243FA1201D}" name="WorksheetConnection_Proyecto Bimestral - Fundamentos de Sistemas de Información.xlsx!Ventas" type="102" refreshedVersion="8" minRefreshableVersion="5">
    <extLst>
      <ext xmlns:x15="http://schemas.microsoft.com/office/spreadsheetml/2010/11/main" uri="{DE250136-89BD-433C-8126-D09CA5730AF9}">
        <x15:connection id="Ventas">
          <x15:rangePr sourceName="_xlcn.WorksheetConnection_ProyectoBimestralFundamentosdeSistemasdeInformación.xlsxVentas"/>
        </x15:connection>
      </ext>
    </extLst>
  </connection>
</connections>
</file>

<file path=xl/sharedStrings.xml><?xml version="1.0" encoding="utf-8"?>
<sst xmlns="http://schemas.openxmlformats.org/spreadsheetml/2006/main" count="585" uniqueCount="145">
  <si>
    <t>Num_venta</t>
  </si>
  <si>
    <t>Fecha</t>
  </si>
  <si>
    <t>Ciudad</t>
  </si>
  <si>
    <t>Nombre_representante</t>
  </si>
  <si>
    <t>Marca_vehículo</t>
  </si>
  <si>
    <t>Categoría_vehículo</t>
  </si>
  <si>
    <t>Mes</t>
  </si>
  <si>
    <t>01/01/2023</t>
  </si>
  <si>
    <t>Quito</t>
  </si>
  <si>
    <t>Carolina Zambrano</t>
  </si>
  <si>
    <t>Citroen</t>
  </si>
  <si>
    <t>automóvil</t>
  </si>
  <si>
    <t>05/01/2023</t>
  </si>
  <si>
    <t>Loja</t>
  </si>
  <si>
    <t>Andres Paredes</t>
  </si>
  <si>
    <t>Audi</t>
  </si>
  <si>
    <t>camioneta</t>
  </si>
  <si>
    <t>09/01/2023</t>
  </si>
  <si>
    <t>Riobamba</t>
  </si>
  <si>
    <t>Marco Pérez</t>
  </si>
  <si>
    <t>Hyundai</t>
  </si>
  <si>
    <t>13/01/2023</t>
  </si>
  <si>
    <t>Cuenca</t>
  </si>
  <si>
    <t>Alejandra Morocho</t>
  </si>
  <si>
    <t>17/01/2023</t>
  </si>
  <si>
    <t>SUV</t>
  </si>
  <si>
    <t>21/01/2023</t>
  </si>
  <si>
    <t>25/01/2023</t>
  </si>
  <si>
    <t>29/01/2023</t>
  </si>
  <si>
    <t>02/02/2023</t>
  </si>
  <si>
    <t>Juan Barreno</t>
  </si>
  <si>
    <t>06/02/2023</t>
  </si>
  <si>
    <t>10/02/2023</t>
  </si>
  <si>
    <t>Nissan</t>
  </si>
  <si>
    <t>14/02/2023</t>
  </si>
  <si>
    <t>18/02/2023</t>
  </si>
  <si>
    <t>22/02/2023</t>
  </si>
  <si>
    <t>Kia</t>
  </si>
  <si>
    <t>26/02/2023</t>
  </si>
  <si>
    <t>03/03/2023</t>
  </si>
  <si>
    <t>06/03/2023</t>
  </si>
  <si>
    <t>10/03/2023</t>
  </si>
  <si>
    <t>Volkswagen</t>
  </si>
  <si>
    <t>14/03/2023</t>
  </si>
  <si>
    <t>18/03/2023</t>
  </si>
  <si>
    <t>22/03/2023</t>
  </si>
  <si>
    <t>26/03/2023</t>
  </si>
  <si>
    <t>30/03/2023</t>
  </si>
  <si>
    <t>03/04/2023</t>
  </si>
  <si>
    <t>07/04/2023</t>
  </si>
  <si>
    <t>11/04/2023</t>
  </si>
  <si>
    <t>15/04/2023</t>
  </si>
  <si>
    <t>19/04/2023</t>
  </si>
  <si>
    <t>23/04/2023</t>
  </si>
  <si>
    <t>27/04/2023</t>
  </si>
  <si>
    <t>01/05/2023</t>
  </si>
  <si>
    <t>05/05/2023</t>
  </si>
  <si>
    <t>09/05/2023</t>
  </si>
  <si>
    <t>13/05/2023</t>
  </si>
  <si>
    <t>17/05/2023</t>
  </si>
  <si>
    <t>21/05/2023</t>
  </si>
  <si>
    <t>29/05/2023</t>
  </si>
  <si>
    <t>02/06/2023</t>
  </si>
  <si>
    <t>06/06/2023</t>
  </si>
  <si>
    <t>10/06/2023</t>
  </si>
  <si>
    <t>14/06/2023</t>
  </si>
  <si>
    <t>18/06/2023</t>
  </si>
  <si>
    <t>22/06/2023</t>
  </si>
  <si>
    <t>26/06/2023</t>
  </si>
  <si>
    <t>30/06/2023</t>
  </si>
  <si>
    <t>04/07/2023</t>
  </si>
  <si>
    <t>08/07/2023</t>
  </si>
  <si>
    <t>12/07/2023</t>
  </si>
  <si>
    <t>16/07/2023</t>
  </si>
  <si>
    <t>20/07/2023</t>
  </si>
  <si>
    <t>24/07/2023</t>
  </si>
  <si>
    <t>28/07/2023</t>
  </si>
  <si>
    <t>01/08/2023</t>
  </si>
  <si>
    <t>05/08/2023</t>
  </si>
  <si>
    <t>09/08/2023</t>
  </si>
  <si>
    <t>13/08/2023</t>
  </si>
  <si>
    <t>17/08/2023</t>
  </si>
  <si>
    <t>21/08/2023</t>
  </si>
  <si>
    <t>25/08/2023</t>
  </si>
  <si>
    <t>29/08/2023</t>
  </si>
  <si>
    <t>02/09/2023</t>
  </si>
  <si>
    <t>06/09/2023</t>
  </si>
  <si>
    <t>10/09/2023</t>
  </si>
  <si>
    <t>14/09/2023</t>
  </si>
  <si>
    <t>18/09/2023</t>
  </si>
  <si>
    <t>22/09/2023</t>
  </si>
  <si>
    <t>26/09/2023</t>
  </si>
  <si>
    <t>30/09/2023</t>
  </si>
  <si>
    <t>04/10/2023</t>
  </si>
  <si>
    <t>08/10/2023</t>
  </si>
  <si>
    <t>12/10/2023</t>
  </si>
  <si>
    <t>16/10/2023</t>
  </si>
  <si>
    <t>20/10/2023</t>
  </si>
  <si>
    <t>24/10/2023</t>
  </si>
  <si>
    <t>28/10/2023</t>
  </si>
  <si>
    <t>01/11/2023</t>
  </si>
  <si>
    <t>05/11/2023</t>
  </si>
  <si>
    <t>09/11/2023</t>
  </si>
  <si>
    <t>13/11/2023</t>
  </si>
  <si>
    <t>17/11/2023</t>
  </si>
  <si>
    <t>21/11/2023</t>
  </si>
  <si>
    <t>25/11/2023</t>
  </si>
  <si>
    <t>29/11/2023</t>
  </si>
  <si>
    <t>03/12/2023</t>
  </si>
  <si>
    <t>07/12/2023</t>
  </si>
  <si>
    <t>09/12/2023</t>
  </si>
  <si>
    <t>15/12/2023</t>
  </si>
  <si>
    <t>16/12/2023</t>
  </si>
  <si>
    <t>19/12/2023</t>
  </si>
  <si>
    <t>20/12/2023</t>
  </si>
  <si>
    <t>21/12/2023</t>
  </si>
  <si>
    <t>22/12/2023</t>
  </si>
  <si>
    <t>24/12/2023</t>
  </si>
  <si>
    <t>27/12/2023</t>
  </si>
  <si>
    <t>28/12/2023</t>
  </si>
  <si>
    <t>29/12/2023</t>
  </si>
  <si>
    <t>30/12/2023</t>
  </si>
  <si>
    <t>31/12/2023</t>
  </si>
  <si>
    <t>enero</t>
  </si>
  <si>
    <t>febrero</t>
  </si>
  <si>
    <t>abril</t>
  </si>
  <si>
    <t>junio</t>
  </si>
  <si>
    <t>julio</t>
  </si>
  <si>
    <t>agosto</t>
  </si>
  <si>
    <t>octubre</t>
  </si>
  <si>
    <t>noviembre</t>
  </si>
  <si>
    <t>diciembre</t>
  </si>
  <si>
    <t>Sum of Valor</t>
  </si>
  <si>
    <t>Valor $$</t>
  </si>
  <si>
    <t>Etiquetas de fila</t>
  </si>
  <si>
    <t>marzo</t>
  </si>
  <si>
    <t>mayo</t>
  </si>
  <si>
    <t>septiembre</t>
  </si>
  <si>
    <t>Total general</t>
  </si>
  <si>
    <t>Promedio de Valor</t>
  </si>
  <si>
    <t>Cuenta de Valor</t>
  </si>
  <si>
    <t>#EEFAFC</t>
  </si>
  <si>
    <t>#3B7D23</t>
  </si>
  <si>
    <t>#156082</t>
  </si>
  <si>
    <t>#0E3E46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</si>
</sst>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EFAFC"/>
        <bgColor indexed="64"/>
      </patternFill>
    </fill>
    <fill>
      <patternFill patternType="solid">
        <fgColor rgb="FF3B7D23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E3E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7">
    <dxf>
      <numFmt numFmtId="0" formatCode="General"/>
    </dxf>
    <dxf>
      <numFmt numFmtId="164" formatCode="&quot;$&quot;#,##0.00"/>
    </dxf>
    <dxf>
      <numFmt numFmtId="165" formatCode="dd/mm/yyyy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ción de datos 1" pivot="0" table="0" count="1" xr9:uid="{C74B18A6-3B36-465D-9872-6BDA33A21B31}">
      <tableStyleElement type="wholeTable" dxfId="6"/>
    </tableStyle>
    <tableStyle name="Estilo de segmentación de datos 2" pivot="0" table="0" count="1" xr9:uid="{59710DC8-415D-4471-9A9F-C5CEC091A81B}">
      <tableStyleElement type="wholeTable" dxfId="5"/>
    </tableStyle>
  </tableStyles>
  <colors>
    <mruColors>
      <color rgb="FF156082"/>
      <color rgb="FF0E3E46"/>
      <color rgb="FF3B7D23"/>
      <color rgb="FFEEFAFC"/>
      <color rgb="FF0D353F"/>
      <color rgb="FF963900"/>
      <color rgb="FF763000"/>
      <color rgb="FFFF6600"/>
      <color rgb="FFFF6361"/>
      <color rgb="FFBC5090"/>
    </mruColors>
  </colors>
  <extLst>
    <ext xmlns:x14="http://schemas.microsoft.com/office/spreadsheetml/2009/9/main" uri="{EB79DEF2-80B8-43e5-95BD-54CBDDF9020C}">
      <x14:slicerStyles defaultSlicerStyle="Estilo de segmentación de datos 1">
        <x14:slicerStyle name="Estilo de segmentación de datos 1"/>
        <x14:slicerStyle name="Estilo de segmentación de datos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Bimestral - Fundamentos de Sistemas de Información.xlsx]Tablas Dinamicas!Ventas por Representante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</a:rPr>
              <a:t>Ventas totales por Representante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Dinamicas'!$A$21:$A$26</c:f>
              <c:strCache>
                <c:ptCount val="5"/>
                <c:pt idx="0">
                  <c:v>Alejandra Morocho</c:v>
                </c:pt>
                <c:pt idx="1">
                  <c:v>Andres Paredes</c:v>
                </c:pt>
                <c:pt idx="2">
                  <c:v>Carolina Zambrano</c:v>
                </c:pt>
                <c:pt idx="3">
                  <c:v>Juan Barreno</c:v>
                </c:pt>
                <c:pt idx="4">
                  <c:v>Marco Pérez</c:v>
                </c:pt>
              </c:strCache>
            </c:strRef>
          </c:cat>
          <c:val>
            <c:numRef>
              <c:f>'Tablas Dinamicas'!$B$21:$B$26</c:f>
              <c:numCache>
                <c:formatCode>"$"#,##0.00</c:formatCode>
                <c:ptCount val="5"/>
                <c:pt idx="0">
                  <c:v>439000</c:v>
                </c:pt>
                <c:pt idx="1">
                  <c:v>688300</c:v>
                </c:pt>
                <c:pt idx="2">
                  <c:v>672000</c:v>
                </c:pt>
                <c:pt idx="3">
                  <c:v>644200</c:v>
                </c:pt>
                <c:pt idx="4">
                  <c:v>457400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D-4A16-A536-9CF9C68CE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7493119"/>
        <c:axId val="1157493599"/>
      </c:barChart>
      <c:catAx>
        <c:axId val="115749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57493599"/>
        <c:crosses val="autoZero"/>
        <c:auto val="1"/>
        <c:lblAlgn val="ctr"/>
        <c:lblOffset val="100"/>
        <c:noMultiLvlLbl val="0"/>
      </c:catAx>
      <c:valAx>
        <c:axId val="115749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5749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Bimestral - Fundamentos de Sistemas de Información.xlsx]Tablas Dinamicas!Venta por Marca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</a:rPr>
              <a:t>Venta por Marca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Dinamicas'!$A$52:$A$58</c:f>
              <c:strCache>
                <c:ptCount val="6"/>
                <c:pt idx="0">
                  <c:v>Audi</c:v>
                </c:pt>
                <c:pt idx="1">
                  <c:v>Citroen</c:v>
                </c:pt>
                <c:pt idx="2">
                  <c:v>Hyundai</c:v>
                </c:pt>
                <c:pt idx="3">
                  <c:v>Kia</c:v>
                </c:pt>
                <c:pt idx="4">
                  <c:v>Nissan</c:v>
                </c:pt>
                <c:pt idx="5">
                  <c:v>Volkswagen</c:v>
                </c:pt>
              </c:strCache>
            </c:strRef>
          </c:cat>
          <c:val>
            <c:numRef>
              <c:f>'Tablas Dinamicas'!$B$52:$B$58</c:f>
              <c:numCache>
                <c:formatCode>"$"#,##0.00</c:formatCode>
                <c:ptCount val="6"/>
                <c:pt idx="0">
                  <c:v>804800</c:v>
                </c:pt>
                <c:pt idx="1">
                  <c:v>758900</c:v>
                </c:pt>
                <c:pt idx="2">
                  <c:v>368800</c:v>
                </c:pt>
                <c:pt idx="3">
                  <c:v>287400</c:v>
                </c:pt>
                <c:pt idx="4">
                  <c:v>405800</c:v>
                </c:pt>
                <c:pt idx="5">
                  <c:v>275200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D-468B-B284-1214494C7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446991"/>
        <c:axId val="1157447471"/>
      </c:barChart>
      <c:catAx>
        <c:axId val="115744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57447471"/>
        <c:crosses val="autoZero"/>
        <c:auto val="1"/>
        <c:lblAlgn val="ctr"/>
        <c:lblOffset val="100"/>
        <c:noMultiLvlLbl val="0"/>
      </c:catAx>
      <c:valAx>
        <c:axId val="115744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5744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Bimestral - Fundamentos de Sistemas de Información.xlsx]Tablas Dinamicas!Ventas por Categoria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</a:rPr>
              <a:t>Ventas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Dinamicas'!$B$36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C03-4CBF-A6E1-044A12D70D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03-4CBF-A6E1-044A12D70D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C03-4CBF-A6E1-044A12D70D1C}"/>
              </c:ext>
            </c:extLst>
          </c:dPt>
          <c:cat>
            <c:strRef>
              <c:f>'Tablas Dinamicas'!$A$37:$A$40</c:f>
              <c:strCache>
                <c:ptCount val="3"/>
                <c:pt idx="0">
                  <c:v>automóvil</c:v>
                </c:pt>
                <c:pt idx="1">
                  <c:v>camioneta</c:v>
                </c:pt>
                <c:pt idx="2">
                  <c:v>SUV</c:v>
                </c:pt>
              </c:strCache>
            </c:strRef>
          </c:cat>
          <c:val>
            <c:numRef>
              <c:f>'Tablas Dinamicas'!$B$37:$B$40</c:f>
              <c:numCache>
                <c:formatCode>"$"#,##0.00</c:formatCode>
                <c:ptCount val="3"/>
                <c:pt idx="0">
                  <c:v>777300</c:v>
                </c:pt>
                <c:pt idx="1">
                  <c:v>1080600</c:v>
                </c:pt>
                <c:pt idx="2">
                  <c:v>1043000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10-4BCE-8C2F-7E00FE59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Bimestral - Fundamentos de Sistemas de Información.xlsx]Tablas Dinamicas!Ventas por Ciudad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chemeClr val="tx1"/>
                </a:solidFill>
              </a:rPr>
              <a:t>Ventas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Dinamicas'!$B$66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'Tablas Dinamicas'!$A$67:$A$71</c:f>
              <c:strCache>
                <c:ptCount val="4"/>
                <c:pt idx="0">
                  <c:v>Cuenca</c:v>
                </c:pt>
                <c:pt idx="1">
                  <c:v>Loja</c:v>
                </c:pt>
                <c:pt idx="2">
                  <c:v>Quito</c:v>
                </c:pt>
                <c:pt idx="3">
                  <c:v>Riobamba</c:v>
                </c:pt>
              </c:strCache>
            </c:strRef>
          </c:cat>
          <c:val>
            <c:numRef>
              <c:f>'Tablas Dinamicas'!$B$67:$B$71</c:f>
              <c:numCache>
                <c:formatCode>"$"#,##0.00</c:formatCode>
                <c:ptCount val="4"/>
                <c:pt idx="0">
                  <c:v>439000</c:v>
                </c:pt>
                <c:pt idx="1">
                  <c:v>688300</c:v>
                </c:pt>
                <c:pt idx="2">
                  <c:v>1316200</c:v>
                </c:pt>
                <c:pt idx="3">
                  <c:v>457400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0-49DF-907B-0EF9FBD10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476607"/>
        <c:axId val="1169474207"/>
      </c:lineChart>
      <c:catAx>
        <c:axId val="116947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69474207"/>
        <c:crosses val="autoZero"/>
        <c:auto val="1"/>
        <c:lblAlgn val="ctr"/>
        <c:lblOffset val="100"/>
        <c:noMultiLvlLbl val="0"/>
      </c:catAx>
      <c:valAx>
        <c:axId val="116947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6947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Bimestral - Fundamentos de Sistemas de Información.xlsx]Tablas Dinamicas!Ventas por mes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Ventas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'Tablas Dinamicas'!$B$3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Dinamicas'!$A$4:$A$16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'Tablas Dinamicas'!$B$4:$B$16</c:f>
              <c:numCache>
                <c:formatCode>"$"#,##0.00</c:formatCode>
                <c:ptCount val="12"/>
                <c:pt idx="0">
                  <c:v>226300</c:v>
                </c:pt>
                <c:pt idx="1">
                  <c:v>206400</c:v>
                </c:pt>
                <c:pt idx="2">
                  <c:v>225700</c:v>
                </c:pt>
                <c:pt idx="3">
                  <c:v>185500</c:v>
                </c:pt>
                <c:pt idx="4">
                  <c:v>252300</c:v>
                </c:pt>
                <c:pt idx="5">
                  <c:v>226800</c:v>
                </c:pt>
                <c:pt idx="6">
                  <c:v>194200</c:v>
                </c:pt>
                <c:pt idx="7">
                  <c:v>265200</c:v>
                </c:pt>
                <c:pt idx="8">
                  <c:v>210400</c:v>
                </c:pt>
                <c:pt idx="9">
                  <c:v>195800</c:v>
                </c:pt>
                <c:pt idx="10">
                  <c:v>218200</c:v>
                </c:pt>
                <c:pt idx="11">
                  <c:v>494100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5D-47C8-BAEF-BDDF67A35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8439648"/>
        <c:axId val="1208437248"/>
      </c:barChart>
      <c:catAx>
        <c:axId val="1208439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08437248"/>
        <c:crosses val="autoZero"/>
        <c:auto val="1"/>
        <c:lblAlgn val="ctr"/>
        <c:lblOffset val="100"/>
        <c:noMultiLvlLbl val="0"/>
      </c:catAx>
      <c:valAx>
        <c:axId val="120843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0843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Bimestral - Fundamentos de Sistemas de Información.xlsx]Tablas Dinamicas!Venta por Marca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</a:t>
            </a:r>
            <a:r>
              <a:rPr lang="en-US" b="1" baseline="0"/>
              <a:t> por Marca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Dinamicas'!$A$52:$A$58</c:f>
              <c:strCache>
                <c:ptCount val="6"/>
                <c:pt idx="0">
                  <c:v>Audi</c:v>
                </c:pt>
                <c:pt idx="1">
                  <c:v>Citroen</c:v>
                </c:pt>
                <c:pt idx="2">
                  <c:v>Hyundai</c:v>
                </c:pt>
                <c:pt idx="3">
                  <c:v>Kia</c:v>
                </c:pt>
                <c:pt idx="4">
                  <c:v>Nissan</c:v>
                </c:pt>
                <c:pt idx="5">
                  <c:v>Volkswagen</c:v>
                </c:pt>
              </c:strCache>
            </c:strRef>
          </c:cat>
          <c:val>
            <c:numRef>
              <c:f>'Tablas Dinamicas'!$B$52:$B$58</c:f>
              <c:numCache>
                <c:formatCode>"$"#,##0.00</c:formatCode>
                <c:ptCount val="6"/>
                <c:pt idx="0">
                  <c:v>804800</c:v>
                </c:pt>
                <c:pt idx="1">
                  <c:v>758900</c:v>
                </c:pt>
                <c:pt idx="2">
                  <c:v>368800</c:v>
                </c:pt>
                <c:pt idx="3">
                  <c:v>287400</c:v>
                </c:pt>
                <c:pt idx="4">
                  <c:v>405800</c:v>
                </c:pt>
                <c:pt idx="5">
                  <c:v>275200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D-4AAC-A75E-502B1987D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446991"/>
        <c:axId val="1157447471"/>
      </c:barChart>
      <c:catAx>
        <c:axId val="115744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57447471"/>
        <c:crosses val="autoZero"/>
        <c:auto val="1"/>
        <c:lblAlgn val="ctr"/>
        <c:lblOffset val="100"/>
        <c:noMultiLvlLbl val="0"/>
      </c:catAx>
      <c:valAx>
        <c:axId val="1157447471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15744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Bimestral - Fundamentos de Sistemas de Información.xlsx]Tablas Dinamicas!Ventas por Representante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 por Representante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'Tablas Dinamicas'!$A$21:$A$26</c:f>
              <c:strCache>
                <c:ptCount val="5"/>
                <c:pt idx="0">
                  <c:v>Alejandra Morocho</c:v>
                </c:pt>
                <c:pt idx="1">
                  <c:v>Andres Paredes</c:v>
                </c:pt>
                <c:pt idx="2">
                  <c:v>Carolina Zambrano</c:v>
                </c:pt>
                <c:pt idx="3">
                  <c:v>Juan Barreno</c:v>
                </c:pt>
                <c:pt idx="4">
                  <c:v>Marco Pérez</c:v>
                </c:pt>
              </c:strCache>
            </c:strRef>
          </c:cat>
          <c:val>
            <c:numRef>
              <c:f>'Tablas Dinamicas'!$B$21:$B$26</c:f>
              <c:numCache>
                <c:formatCode>"$"#,##0.00</c:formatCode>
                <c:ptCount val="5"/>
                <c:pt idx="0">
                  <c:v>439000</c:v>
                </c:pt>
                <c:pt idx="1">
                  <c:v>688300</c:v>
                </c:pt>
                <c:pt idx="2">
                  <c:v>672000</c:v>
                </c:pt>
                <c:pt idx="3">
                  <c:v>644200</c:v>
                </c:pt>
                <c:pt idx="4">
                  <c:v>457400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1-411B-9429-299904DD0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7493119"/>
        <c:axId val="1157493599"/>
      </c:barChart>
      <c:catAx>
        <c:axId val="115749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57493599"/>
        <c:crosses val="autoZero"/>
        <c:auto val="1"/>
        <c:lblAlgn val="ctr"/>
        <c:lblOffset val="100"/>
        <c:noMultiLvlLbl val="0"/>
      </c:catAx>
      <c:valAx>
        <c:axId val="115749359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15749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Bimestral - Fundamentos de Sistemas de Información.xlsx]Tablas Dinamicas!Ventas por Ciudad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</a:t>
            </a:r>
            <a:r>
              <a:rPr lang="en-US" b="1" baseline="0"/>
              <a:t> por Ciudad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89841505443793E-2"/>
              <c:y val="3.962542429625090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43974830944572E-2"/>
          <c:y val="0.16678341086292006"/>
          <c:w val="0.94379069214902422"/>
          <c:h val="0.76142218455900179"/>
        </c:manualLayout>
      </c:layout>
      <c:lineChart>
        <c:grouping val="standard"/>
        <c:varyColors val="0"/>
        <c:ser>
          <c:idx val="0"/>
          <c:order val="0"/>
          <c:tx>
            <c:strRef>
              <c:f>'Tablas Dinamicas'!$B$66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B665-4B63-A498-34E720DCF004}"/>
              </c:ext>
            </c:extLst>
          </c:dPt>
          <c:dLbls>
            <c:dLbl>
              <c:idx val="3"/>
              <c:layout>
                <c:manualLayout>
                  <c:x val="-6.89841505443793E-2"/>
                  <c:y val="3.962542429625090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65-4B63-A498-34E720DCF0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Dinamicas'!$A$67:$A$71</c:f>
              <c:strCache>
                <c:ptCount val="4"/>
                <c:pt idx="0">
                  <c:v>Cuenca</c:v>
                </c:pt>
                <c:pt idx="1">
                  <c:v>Loja</c:v>
                </c:pt>
                <c:pt idx="2">
                  <c:v>Quito</c:v>
                </c:pt>
                <c:pt idx="3">
                  <c:v>Riobamba</c:v>
                </c:pt>
              </c:strCache>
            </c:strRef>
          </c:cat>
          <c:val>
            <c:numRef>
              <c:f>'Tablas Dinamicas'!$B$67:$B$71</c:f>
              <c:numCache>
                <c:formatCode>"$"#,##0.00</c:formatCode>
                <c:ptCount val="4"/>
                <c:pt idx="0">
                  <c:v>439000</c:v>
                </c:pt>
                <c:pt idx="1">
                  <c:v>688300</c:v>
                </c:pt>
                <c:pt idx="2">
                  <c:v>1316200</c:v>
                </c:pt>
                <c:pt idx="3">
                  <c:v>457400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E6-417B-A73F-0264B1DA2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476607"/>
        <c:axId val="1169474207"/>
      </c:lineChart>
      <c:catAx>
        <c:axId val="116947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69474207"/>
        <c:crosses val="autoZero"/>
        <c:auto val="1"/>
        <c:lblAlgn val="ctr"/>
        <c:lblOffset val="100"/>
        <c:noMultiLvlLbl val="0"/>
      </c:catAx>
      <c:valAx>
        <c:axId val="1169474207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1694766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Bimestral - Fundamentos de Sistemas de Información.xlsx]Tablas Dinamicas!Ventas por mes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</a:t>
            </a:r>
            <a:r>
              <a:rPr lang="en-US" b="1" baseline="0"/>
              <a:t> por Mes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'Tablas Dinamicas'!$B$3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Dinamicas'!$A$4:$A$16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'Tablas Dinamicas'!$B$4:$B$16</c:f>
              <c:numCache>
                <c:formatCode>"$"#,##0.00</c:formatCode>
                <c:ptCount val="12"/>
                <c:pt idx="0">
                  <c:v>226300</c:v>
                </c:pt>
                <c:pt idx="1">
                  <c:v>206400</c:v>
                </c:pt>
                <c:pt idx="2">
                  <c:v>225700</c:v>
                </c:pt>
                <c:pt idx="3">
                  <c:v>185500</c:v>
                </c:pt>
                <c:pt idx="4">
                  <c:v>252300</c:v>
                </c:pt>
                <c:pt idx="5">
                  <c:v>226800</c:v>
                </c:pt>
                <c:pt idx="6">
                  <c:v>194200</c:v>
                </c:pt>
                <c:pt idx="7">
                  <c:v>265200</c:v>
                </c:pt>
                <c:pt idx="8">
                  <c:v>210400</c:v>
                </c:pt>
                <c:pt idx="9">
                  <c:v>195800</c:v>
                </c:pt>
                <c:pt idx="10">
                  <c:v>218200</c:v>
                </c:pt>
                <c:pt idx="11">
                  <c:v>494100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C-41F5-B100-29A82CFA2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8439648"/>
        <c:axId val="1208437248"/>
      </c:barChart>
      <c:catAx>
        <c:axId val="1208439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08437248"/>
        <c:crosses val="autoZero"/>
        <c:auto val="1"/>
        <c:lblAlgn val="ctr"/>
        <c:lblOffset val="100"/>
        <c:noMultiLvlLbl val="0"/>
      </c:catAx>
      <c:valAx>
        <c:axId val="1208437248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120843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Bimestral - Fundamentos de Sistemas de Información.xlsx]Tablas Dinamicas!Ventas por Categoria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7781312985607915E-2"/>
              <c:y val="0.156163142211055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2664783183293188E-2"/>
              <c:y val="-0.20232151522154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698141622186423"/>
                  <c:h val="0.15130203714076404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'Tablas Dinamicas'!$B$36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5F-4852-8412-2799E74543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5F-4852-8412-2799E74543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5F-4852-8412-2799E745437D}"/>
              </c:ext>
            </c:extLst>
          </c:dPt>
          <c:dLbls>
            <c:dLbl>
              <c:idx val="0"/>
              <c:layout>
                <c:manualLayout>
                  <c:x val="-8.7781312985607915E-2"/>
                  <c:y val="0.1561631422110557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5F-4852-8412-2799E745437D}"/>
                </c:ext>
              </c:extLst>
            </c:dLbl>
            <c:dLbl>
              <c:idx val="1"/>
              <c:layout>
                <c:manualLayout>
                  <c:x val="-6.2664783183293188E-2"/>
                  <c:y val="-0.202321515221540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5F-4852-8412-2799E745437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6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98141622186423"/>
                      <c:h val="0.151302037140764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85F-4852-8412-2799E74543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Dinamicas'!$A$37:$A$40</c:f>
              <c:strCache>
                <c:ptCount val="3"/>
                <c:pt idx="0">
                  <c:v>automóvil</c:v>
                </c:pt>
                <c:pt idx="1">
                  <c:v>camioneta</c:v>
                </c:pt>
                <c:pt idx="2">
                  <c:v>SUV</c:v>
                </c:pt>
              </c:strCache>
            </c:strRef>
          </c:cat>
          <c:val>
            <c:numRef>
              <c:f>'Tablas Dinamicas'!$B$37:$B$40</c:f>
              <c:numCache>
                <c:formatCode>"$"#,##0.00</c:formatCode>
                <c:ptCount val="3"/>
                <c:pt idx="0">
                  <c:v>777300</c:v>
                </c:pt>
                <c:pt idx="1">
                  <c:v>1080600</c:v>
                </c:pt>
                <c:pt idx="2">
                  <c:v>1043000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5F-4852-8412-2799E7454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legendEntry>
      <c:layout>
        <c:manualLayout>
          <c:xMode val="edge"/>
          <c:yMode val="edge"/>
          <c:x val="0.62572615919687735"/>
          <c:y val="0.13847596666918191"/>
          <c:w val="0.19645976033898818"/>
          <c:h val="0.836388478661593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Bimestral - Fundamentos de Sistemas de Información.xlsx]Tablas Dinamicas!Venta por Marca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Venta</a:t>
            </a:r>
            <a:r>
              <a:rPr lang="en-US" b="1" baseline="0">
                <a:solidFill>
                  <a:schemeClr val="tx1"/>
                </a:solidFill>
              </a:rPr>
              <a:t> por Marca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3851885723204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944038682490436E-2"/>
          <c:y val="0.20434798374899532"/>
          <c:w val="0.93593569539693156"/>
          <c:h val="0.707687414439758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Dinamicas'!$B$51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Dinamicas'!$A$52:$A$58</c:f>
              <c:strCache>
                <c:ptCount val="6"/>
                <c:pt idx="0">
                  <c:v>Audi</c:v>
                </c:pt>
                <c:pt idx="1">
                  <c:v>Citroen</c:v>
                </c:pt>
                <c:pt idx="2">
                  <c:v>Hyundai</c:v>
                </c:pt>
                <c:pt idx="3">
                  <c:v>Kia</c:v>
                </c:pt>
                <c:pt idx="4">
                  <c:v>Nissan</c:v>
                </c:pt>
                <c:pt idx="5">
                  <c:v>Volkswagen</c:v>
                </c:pt>
              </c:strCache>
            </c:strRef>
          </c:cat>
          <c:val>
            <c:numRef>
              <c:f>'Tablas Dinamicas'!$B$52:$B$58</c:f>
              <c:numCache>
                <c:formatCode>"$"#,##0.00</c:formatCode>
                <c:ptCount val="6"/>
                <c:pt idx="0">
                  <c:v>804800</c:v>
                </c:pt>
                <c:pt idx="1">
                  <c:v>758900</c:v>
                </c:pt>
                <c:pt idx="2">
                  <c:v>368800</c:v>
                </c:pt>
                <c:pt idx="3">
                  <c:v>287400</c:v>
                </c:pt>
                <c:pt idx="4">
                  <c:v>405800</c:v>
                </c:pt>
                <c:pt idx="5">
                  <c:v>275200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2-41E4-BEEE-B1D72BE2C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7446991"/>
        <c:axId val="1157447471"/>
      </c:barChart>
      <c:catAx>
        <c:axId val="1157446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57447471"/>
        <c:crosses val="autoZero"/>
        <c:auto val="1"/>
        <c:lblAlgn val="ctr"/>
        <c:lblOffset val="100"/>
        <c:noMultiLvlLbl val="0"/>
      </c:catAx>
      <c:valAx>
        <c:axId val="1157447471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15744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Bimestral - Fundamentos de Sistemas de Información.xlsx]Tablas Dinamicas!Ventas por Representante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 por Representante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Dinamicas'!$B$20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'Tablas Dinamicas'!$A$21:$A$26</c:f>
              <c:strCache>
                <c:ptCount val="5"/>
                <c:pt idx="0">
                  <c:v>Alejandra Morocho</c:v>
                </c:pt>
                <c:pt idx="1">
                  <c:v>Andres Paredes</c:v>
                </c:pt>
                <c:pt idx="2">
                  <c:v>Carolina Zambrano</c:v>
                </c:pt>
                <c:pt idx="3">
                  <c:v>Juan Barreno</c:v>
                </c:pt>
                <c:pt idx="4">
                  <c:v>Marco Pérez</c:v>
                </c:pt>
              </c:strCache>
            </c:strRef>
          </c:cat>
          <c:val>
            <c:numRef>
              <c:f>'Tablas Dinamicas'!$B$21:$B$26</c:f>
              <c:numCache>
                <c:formatCode>"$"#,##0.00</c:formatCode>
                <c:ptCount val="5"/>
                <c:pt idx="0">
                  <c:v>439000</c:v>
                </c:pt>
                <c:pt idx="1">
                  <c:v>688300</c:v>
                </c:pt>
                <c:pt idx="2">
                  <c:v>672000</c:v>
                </c:pt>
                <c:pt idx="3">
                  <c:v>644200</c:v>
                </c:pt>
                <c:pt idx="4">
                  <c:v>457400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FA-4A8E-A0BA-ACE1BBEAE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7493119"/>
        <c:axId val="1157493599"/>
      </c:barChart>
      <c:catAx>
        <c:axId val="115749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57493599"/>
        <c:crosses val="autoZero"/>
        <c:auto val="1"/>
        <c:lblAlgn val="ctr"/>
        <c:lblOffset val="100"/>
        <c:noMultiLvlLbl val="0"/>
      </c:catAx>
      <c:valAx>
        <c:axId val="115749359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15749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Bimestral - Fundamentos de Sistemas de Información.xlsx]Tablas Dinamicas!Ventas por mes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7620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56082"/>
          </a:solidFill>
          <a:ln w="76200">
            <a:solidFill>
              <a:schemeClr val="accent1"/>
            </a:solidFill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'Tablas Dinamicas'!$B$3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76200">
              <a:solidFill>
                <a:schemeClr val="accent1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156082"/>
              </a:solidFill>
              <a:ln w="7620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4C-416C-A071-CEA76B4AC3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Dinamicas'!$A$4:$A$16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'Tablas Dinamicas'!$B$4:$B$16</c:f>
              <c:numCache>
                <c:formatCode>"$"#,##0.00</c:formatCode>
                <c:ptCount val="12"/>
                <c:pt idx="0">
                  <c:v>226300</c:v>
                </c:pt>
                <c:pt idx="1">
                  <c:v>206400</c:v>
                </c:pt>
                <c:pt idx="2">
                  <c:v>225700</c:v>
                </c:pt>
                <c:pt idx="3">
                  <c:v>185500</c:v>
                </c:pt>
                <c:pt idx="4">
                  <c:v>252300</c:v>
                </c:pt>
                <c:pt idx="5">
                  <c:v>226800</c:v>
                </c:pt>
                <c:pt idx="6">
                  <c:v>194200</c:v>
                </c:pt>
                <c:pt idx="7">
                  <c:v>265200</c:v>
                </c:pt>
                <c:pt idx="8">
                  <c:v>210400</c:v>
                </c:pt>
                <c:pt idx="9">
                  <c:v>195800</c:v>
                </c:pt>
                <c:pt idx="10">
                  <c:v>218200</c:v>
                </c:pt>
                <c:pt idx="11">
                  <c:v>494100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0-4338-948E-588AC54C8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8439648"/>
        <c:axId val="1208437248"/>
      </c:barChart>
      <c:catAx>
        <c:axId val="1208439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08437248"/>
        <c:crosses val="autoZero"/>
        <c:auto val="1"/>
        <c:lblAlgn val="ctr"/>
        <c:lblOffset val="100"/>
        <c:noMultiLvlLbl val="0"/>
      </c:catAx>
      <c:valAx>
        <c:axId val="1208437248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crossAx val="120843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Bimestral - Fundamentos de Sistemas de Información.xlsx]Tablas Dinamicas!Ventas por Categoria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por Categoría</a:t>
            </a:r>
          </a:p>
        </c:rich>
      </c:tx>
      <c:layout>
        <c:manualLayout>
          <c:xMode val="edge"/>
          <c:yMode val="edge"/>
          <c:x val="0.1839586757491917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7781312985607915E-2"/>
              <c:y val="0.156163142211055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2664783183293188E-2"/>
              <c:y val="-0.20232151522154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698141622186423"/>
                  <c:h val="0.15130203714076404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7781312985607915E-2"/>
              <c:y val="0.156163142211055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2664783183293188E-2"/>
              <c:y val="-0.20232151522154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6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698141622186423"/>
                  <c:h val="0.15130203714076404"/>
                </c:manualLayout>
              </c15:layout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7781312985607915E-2"/>
              <c:y val="0.156163142211055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2664783183293188E-2"/>
              <c:y val="-0.202321515221540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698141622186423"/>
                  <c:h val="0.15130203714076404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'Tablas Dinamicas'!$B$36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75-4433-AC69-17E57CB9CD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75-4433-AC69-17E57CB9CD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75-4433-AC69-17E57CB9CD24}"/>
              </c:ext>
            </c:extLst>
          </c:dPt>
          <c:dLbls>
            <c:dLbl>
              <c:idx val="0"/>
              <c:layout>
                <c:manualLayout>
                  <c:x val="-8.7781312985607915E-2"/>
                  <c:y val="0.1561631422110557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75-4433-AC69-17E57CB9CD24}"/>
                </c:ext>
              </c:extLst>
            </c:dLbl>
            <c:dLbl>
              <c:idx val="1"/>
              <c:layout>
                <c:manualLayout>
                  <c:x val="-6.2664783183293188E-2"/>
                  <c:y val="-0.202321515221540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75-4433-AC69-17E57CB9CD24}"/>
                </c:ext>
              </c:extLst>
            </c:dLbl>
            <c:dLbl>
              <c:idx val="2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98141622186423"/>
                      <c:h val="0.151302037140764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675-4433-AC69-17E57CB9CD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Dinamicas'!$A$37:$A$40</c:f>
              <c:strCache>
                <c:ptCount val="3"/>
                <c:pt idx="0">
                  <c:v>automóvil</c:v>
                </c:pt>
                <c:pt idx="1">
                  <c:v>camioneta</c:v>
                </c:pt>
                <c:pt idx="2">
                  <c:v>SUV</c:v>
                </c:pt>
              </c:strCache>
            </c:strRef>
          </c:cat>
          <c:val>
            <c:numRef>
              <c:f>'Tablas Dinamicas'!$B$37:$B$40</c:f>
              <c:numCache>
                <c:formatCode>"$"#,##0.00</c:formatCode>
                <c:ptCount val="3"/>
                <c:pt idx="0">
                  <c:v>777300</c:v>
                </c:pt>
                <c:pt idx="1">
                  <c:v>1080600</c:v>
                </c:pt>
                <c:pt idx="2">
                  <c:v>1043000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75-4433-AC69-17E57CB9C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</c:legendEntry>
      <c:layout>
        <c:manualLayout>
          <c:xMode val="edge"/>
          <c:yMode val="edge"/>
          <c:x val="0.62572615919687735"/>
          <c:y val="0.13847596666918191"/>
          <c:w val="0.31711785462914654"/>
          <c:h val="0.836388478661593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Bimestral - Fundamentos de Sistemas de Información.xlsx]Tablas Dinamicas!Ventas por Ciudad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Ventas por Ciudad</a:t>
            </a:r>
          </a:p>
        </c:rich>
      </c:tx>
      <c:layout>
        <c:manualLayout>
          <c:xMode val="edge"/>
          <c:yMode val="edge"/>
          <c:x val="0.3033997884901782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89841505443793E-2"/>
              <c:y val="3.962542429625090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89841505443793E-2"/>
              <c:y val="3.962542429625090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89841505443793E-2"/>
              <c:y val="3.962542429625090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43974830944572E-2"/>
          <c:y val="0.16678341086292006"/>
          <c:w val="0.90704228686570043"/>
          <c:h val="0.70917879165586839"/>
        </c:manualLayout>
      </c:layout>
      <c:lineChart>
        <c:grouping val="standard"/>
        <c:varyColors val="0"/>
        <c:ser>
          <c:idx val="0"/>
          <c:order val="0"/>
          <c:tx>
            <c:strRef>
              <c:f>'Tablas Dinamicas'!$B$66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466F-40AF-B675-5233F35360A8}"/>
              </c:ext>
            </c:extLst>
          </c:dPt>
          <c:dLbls>
            <c:dLbl>
              <c:idx val="3"/>
              <c:layout>
                <c:manualLayout>
                  <c:x val="-6.89841505443793E-2"/>
                  <c:y val="3.962542429625090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6F-40AF-B675-5233F35360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Dinamicas'!$A$67:$A$71</c:f>
              <c:strCache>
                <c:ptCount val="4"/>
                <c:pt idx="0">
                  <c:v>Cuenca</c:v>
                </c:pt>
                <c:pt idx="1">
                  <c:v>Loja</c:v>
                </c:pt>
                <c:pt idx="2">
                  <c:v>Quito</c:v>
                </c:pt>
                <c:pt idx="3">
                  <c:v>Riobamba</c:v>
                </c:pt>
              </c:strCache>
            </c:strRef>
          </c:cat>
          <c:val>
            <c:numRef>
              <c:f>'Tablas Dinamicas'!$B$67:$B$71</c:f>
              <c:numCache>
                <c:formatCode>"$"#,##0.00</c:formatCode>
                <c:ptCount val="4"/>
                <c:pt idx="0">
                  <c:v>439000</c:v>
                </c:pt>
                <c:pt idx="1">
                  <c:v>688300</c:v>
                </c:pt>
                <c:pt idx="2">
                  <c:v>1316200</c:v>
                </c:pt>
                <c:pt idx="3">
                  <c:v>457400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6F-40AF-B675-5233F3536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476607"/>
        <c:axId val="1169474207"/>
      </c:lineChart>
      <c:catAx>
        <c:axId val="116947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69474207"/>
        <c:crosses val="autoZero"/>
        <c:auto val="1"/>
        <c:lblAlgn val="ctr"/>
        <c:lblOffset val="100"/>
        <c:noMultiLvlLbl val="0"/>
      </c:catAx>
      <c:valAx>
        <c:axId val="1169474207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116947660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16</xdr:row>
      <xdr:rowOff>45720</xdr:rowOff>
    </xdr:from>
    <xdr:to>
      <xdr:col>9</xdr:col>
      <xdr:colOff>480060</xdr:colOff>
      <xdr:row>31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11A1A4-DF16-97CC-449D-E20B2858D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213360</xdr:colOff>
      <xdr:row>47</xdr:row>
      <xdr:rowOff>114300</xdr:rowOff>
    </xdr:from>
    <xdr:to>
      <xdr:col>8</xdr:col>
      <xdr:colOff>335280</xdr:colOff>
      <xdr:row>59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0B603F-E66B-4810-BB60-22DEEB2C7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175260</xdr:colOff>
      <xdr:row>32</xdr:row>
      <xdr:rowOff>129540</xdr:rowOff>
    </xdr:from>
    <xdr:to>
      <xdr:col>8</xdr:col>
      <xdr:colOff>205740</xdr:colOff>
      <xdr:row>44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54E4E3A-9ADC-5C59-C982-0E069EB28B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175260</xdr:colOff>
      <xdr:row>61</xdr:row>
      <xdr:rowOff>160020</xdr:rowOff>
    </xdr:from>
    <xdr:to>
      <xdr:col>8</xdr:col>
      <xdr:colOff>259080</xdr:colOff>
      <xdr:row>74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9563C4-BA6D-060F-9760-335893D192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228600</xdr:colOff>
      <xdr:row>1</xdr:row>
      <xdr:rowOff>231</xdr:rowOff>
    </xdr:from>
    <xdr:to>
      <xdr:col>9</xdr:col>
      <xdr:colOff>533400</xdr:colOff>
      <xdr:row>16</xdr:row>
      <xdr:rowOff>231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04C7BC1-72C8-4CEF-C5E1-1275DAD1F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403860</xdr:colOff>
      <xdr:row>0</xdr:row>
      <xdr:rowOff>76200</xdr:rowOff>
    </xdr:from>
    <xdr:to>
      <xdr:col>16</xdr:col>
      <xdr:colOff>281940</xdr:colOff>
      <xdr:row>3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008A7B-DE0E-CBB6-08F3-D4F39DD9FF5D}"/>
            </a:ext>
          </a:extLst>
        </xdr:cNvPr>
        <xdr:cNvSpPr txBox="1"/>
      </xdr:nvSpPr>
      <xdr:spPr>
        <a:xfrm>
          <a:off x="7109460" y="76200"/>
          <a:ext cx="2926080" cy="64770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Datos ventas</a:t>
          </a: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EcuaVehículos</a:t>
          </a:r>
          <a:endParaRPr lang="en-US" sz="1600" b="1">
            <a:effectLst/>
          </a:endParaRPr>
        </a:p>
        <a:p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Grupo 1</a:t>
          </a:r>
          <a:endParaRPr lang="en-US" sz="1600" b="1">
            <a:effectLst/>
          </a:endParaRPr>
        </a:p>
        <a:p>
          <a:endParaRPr lang="en-US" sz="1100" kern="1200"/>
        </a:p>
      </xdr:txBody>
    </xdr:sp>
    <xdr:clientData/>
  </xdr:twoCellAnchor>
  <xdr:twoCellAnchor>
    <xdr:from>
      <xdr:col>1</xdr:col>
      <xdr:colOff>21299</xdr:colOff>
      <xdr:row>5</xdr:row>
      <xdr:rowOff>156073</xdr:rowOff>
    </xdr:from>
    <xdr:to>
      <xdr:col>8</xdr:col>
      <xdr:colOff>18361</xdr:colOff>
      <xdr:row>20</xdr:row>
      <xdr:rowOff>1011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3BF6F5-FDB4-4405-A267-1DB145CFB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485110</xdr:colOff>
      <xdr:row>4</xdr:row>
      <xdr:rowOff>122287</xdr:rowOff>
    </xdr:from>
    <xdr:to>
      <xdr:col>18</xdr:col>
      <xdr:colOff>13220</xdr:colOff>
      <xdr:row>23</xdr:row>
      <xdr:rowOff>140648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F05802-1C0C-40F1-842B-69C86C8B6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207482</xdr:colOff>
      <xdr:row>27</xdr:row>
      <xdr:rowOff>7436</xdr:rowOff>
    </xdr:from>
    <xdr:to>
      <xdr:col>9</xdr:col>
      <xdr:colOff>170761</xdr:colOff>
      <xdr:row>44</xdr:row>
      <xdr:rowOff>128163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81CB8E-8C57-4436-9BF7-203C3ECDD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240902</xdr:colOff>
      <xdr:row>25</xdr:row>
      <xdr:rowOff>137528</xdr:rowOff>
    </xdr:from>
    <xdr:to>
      <xdr:col>21</xdr:col>
      <xdr:colOff>424516</xdr:colOff>
      <xdr:row>44</xdr:row>
      <xdr:rowOff>54901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7E0F341-5F7E-4D6F-AD64-20F5B9839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443796</xdr:colOff>
      <xdr:row>6</xdr:row>
      <xdr:rowOff>79320</xdr:rowOff>
    </xdr:from>
    <xdr:to>
      <xdr:col>28</xdr:col>
      <xdr:colOff>581506</xdr:colOff>
      <xdr:row>20</xdr:row>
      <xdr:rowOff>152766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7F76B06-8F0B-4220-959C-97E1AD964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21</xdr:col>
      <xdr:colOff>608872</xdr:colOff>
      <xdr:row>26</xdr:row>
      <xdr:rowOff>23223</xdr:rowOff>
    </xdr:from>
    <xdr:to>
      <xdr:col>24</xdr:col>
      <xdr:colOff>608871</xdr:colOff>
      <xdr:row>34</xdr:row>
      <xdr:rowOff>47172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Ciudad">
              <a:extLst>
                <a:ext uri="{FF2B5EF4-FFF2-40B4-BE49-F238E27FC236}">
                  <a16:creationId xmlns:a16="http://schemas.microsoft.com/office/drawing/2014/main" id="{2F5044DD-727E-D786-DF52-D7E89300B9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30107" y="4879105"/>
              <a:ext cx="1860176" cy="15180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555534</xdr:colOff>
      <xdr:row>35</xdr:row>
      <xdr:rowOff>165827</xdr:rowOff>
    </xdr:from>
    <xdr:to>
      <xdr:col>24</xdr:col>
      <xdr:colOff>555533</xdr:colOff>
      <xdr:row>45</xdr:row>
      <xdr:rowOff>90716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Nombre_representante">
              <a:extLst>
                <a:ext uri="{FF2B5EF4-FFF2-40B4-BE49-F238E27FC236}">
                  <a16:creationId xmlns:a16="http://schemas.microsoft.com/office/drawing/2014/main" id="{F8CE9D33-B53C-80CE-E30A-4F0A44A6B6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_representa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76769" y="6702592"/>
              <a:ext cx="1860176" cy="179253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223883</xdr:colOff>
      <xdr:row>23</xdr:row>
      <xdr:rowOff>169816</xdr:rowOff>
    </xdr:from>
    <xdr:to>
      <xdr:col>28</xdr:col>
      <xdr:colOff>362856</xdr:colOff>
      <xdr:row>37</xdr:row>
      <xdr:rowOff>160291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1" name="Mes">
              <a:extLst>
                <a:ext uri="{FF2B5EF4-FFF2-40B4-BE49-F238E27FC236}">
                  <a16:creationId xmlns:a16="http://schemas.microsoft.com/office/drawing/2014/main" id="{9AC95727-2A36-677C-E090-F231824280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25354" y="4465404"/>
              <a:ext cx="1999149" cy="26051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114297</xdr:rowOff>
    </xdr:from>
    <xdr:to>
      <xdr:col>21</xdr:col>
      <xdr:colOff>16933</xdr:colOff>
      <xdr:row>45</xdr:row>
      <xdr:rowOff>33866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A7E7CBF5-717A-4818-BCC7-6F587058F429}"/>
            </a:ext>
          </a:extLst>
        </xdr:cNvPr>
        <xdr:cNvSpPr/>
      </xdr:nvSpPr>
      <xdr:spPr>
        <a:xfrm>
          <a:off x="107950" y="114297"/>
          <a:ext cx="15352183" cy="8301569"/>
        </a:xfrm>
        <a:prstGeom prst="roundRect">
          <a:avLst>
            <a:gd name="adj" fmla="val 4861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kern="1200"/>
        </a:p>
      </xdr:txBody>
    </xdr:sp>
    <xdr:clientData/>
  </xdr:twoCellAnchor>
  <xdr:twoCellAnchor>
    <xdr:from>
      <xdr:col>0</xdr:col>
      <xdr:colOff>241299</xdr:colOff>
      <xdr:row>1</xdr:row>
      <xdr:rowOff>69850</xdr:rowOff>
    </xdr:from>
    <xdr:to>
      <xdr:col>20</xdr:col>
      <xdr:colOff>651933</xdr:colOff>
      <xdr:row>8</xdr:row>
      <xdr:rowOff>152400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1CD2EF20-E1C3-4D71-A808-DC2A83102D5B}"/>
            </a:ext>
          </a:extLst>
        </xdr:cNvPr>
        <xdr:cNvSpPr/>
      </xdr:nvSpPr>
      <xdr:spPr>
        <a:xfrm>
          <a:off x="241299" y="256117"/>
          <a:ext cx="15091834" cy="1386416"/>
        </a:xfrm>
        <a:prstGeom prst="roundRect">
          <a:avLst>
            <a:gd name="adj" fmla="val 10728"/>
          </a:avLst>
        </a:prstGeom>
        <a:solidFill>
          <a:srgbClr val="0E3E4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kern="1200">
            <a:solidFill>
              <a:srgbClr val="0D353F"/>
            </a:solidFill>
          </a:endParaRPr>
        </a:p>
      </xdr:txBody>
    </xdr:sp>
    <xdr:clientData/>
  </xdr:twoCellAnchor>
  <xdr:twoCellAnchor>
    <xdr:from>
      <xdr:col>1</xdr:col>
      <xdr:colOff>94024</xdr:colOff>
      <xdr:row>5</xdr:row>
      <xdr:rowOff>78345</xdr:rowOff>
    </xdr:from>
    <xdr:to>
      <xdr:col>5</xdr:col>
      <xdr:colOff>635000</xdr:colOff>
      <xdr:row>44</xdr:row>
      <xdr:rowOff>76200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8F9B02D0-1F98-4274-86A7-82176AEE0D4B}"/>
            </a:ext>
          </a:extLst>
        </xdr:cNvPr>
        <xdr:cNvSpPr/>
      </xdr:nvSpPr>
      <xdr:spPr>
        <a:xfrm>
          <a:off x="348024" y="1009678"/>
          <a:ext cx="3580509" cy="7262255"/>
        </a:xfrm>
        <a:prstGeom prst="roundRect">
          <a:avLst>
            <a:gd name="adj" fmla="val 6486"/>
          </a:avLst>
        </a:prstGeom>
        <a:solidFill>
          <a:srgbClr val="EEFAFC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 kern="1200"/>
        </a:p>
      </xdr:txBody>
    </xdr:sp>
    <xdr:clientData/>
  </xdr:twoCellAnchor>
  <xdr:twoCellAnchor>
    <xdr:from>
      <xdr:col>6</xdr:col>
      <xdr:colOff>253999</xdr:colOff>
      <xdr:row>11</xdr:row>
      <xdr:rowOff>134470</xdr:rowOff>
    </xdr:from>
    <xdr:to>
      <xdr:col>20</xdr:col>
      <xdr:colOff>609600</xdr:colOff>
      <xdr:row>44</xdr:row>
      <xdr:rowOff>76200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A6176FF0-F529-46D9-94B5-12FD008BE844}"/>
            </a:ext>
          </a:extLst>
        </xdr:cNvPr>
        <xdr:cNvSpPr/>
      </xdr:nvSpPr>
      <xdr:spPr>
        <a:xfrm>
          <a:off x="4321680" y="2159108"/>
          <a:ext cx="11003355" cy="6015643"/>
        </a:xfrm>
        <a:prstGeom prst="roundRect">
          <a:avLst>
            <a:gd name="adj" fmla="val 7508"/>
          </a:avLst>
        </a:prstGeom>
        <a:solidFill>
          <a:srgbClr val="EEFAFC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s-EC" sz="1100" kern="12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178503</xdr:colOff>
      <xdr:row>1</xdr:row>
      <xdr:rowOff>66323</xdr:rowOff>
    </xdr:from>
    <xdr:to>
      <xdr:col>12</xdr:col>
      <xdr:colOff>369003</xdr:colOff>
      <xdr:row>4</xdr:row>
      <xdr:rowOff>21167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B210F65E-15DF-4FBC-9F2C-DECB9D2E8576}"/>
            </a:ext>
          </a:extLst>
        </xdr:cNvPr>
        <xdr:cNvSpPr txBox="1"/>
      </xdr:nvSpPr>
      <xdr:spPr>
        <a:xfrm>
          <a:off x="6520036" y="252590"/>
          <a:ext cx="2476500" cy="513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2800" b="1" kern="1200">
              <a:solidFill>
                <a:schemeClr val="bg1"/>
              </a:solidFill>
              <a:latin typeface="Source Sans Pro" panose="020B0503030403020204" pitchFamily="34" charset="0"/>
              <a:ea typeface="Source Sans Pro" panose="020B0503030403020204" pitchFamily="34" charset="0"/>
            </a:rPr>
            <a:t>Ecuavehículos</a:t>
          </a:r>
        </a:p>
      </xdr:txBody>
    </xdr:sp>
    <xdr:clientData/>
  </xdr:twoCellAnchor>
  <xdr:twoCellAnchor editAs="oneCell">
    <xdr:from>
      <xdr:col>3</xdr:col>
      <xdr:colOff>390416</xdr:colOff>
      <xdr:row>13</xdr:row>
      <xdr:rowOff>76810</xdr:rowOff>
    </xdr:from>
    <xdr:to>
      <xdr:col>5</xdr:col>
      <xdr:colOff>506569</xdr:colOff>
      <xdr:row>21</xdr:row>
      <xdr:rowOff>110946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Ciudad 1">
              <a:extLst>
                <a:ext uri="{FF2B5EF4-FFF2-40B4-BE49-F238E27FC236}">
                  <a16:creationId xmlns:a16="http://schemas.microsoft.com/office/drawing/2014/main" id="{D271A263-794B-4286-84D5-D9C310C3F1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6871" y="2478265"/>
              <a:ext cx="1640153" cy="15119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367873</xdr:colOff>
      <xdr:row>24</xdr:row>
      <xdr:rowOff>58386</xdr:rowOff>
    </xdr:from>
    <xdr:to>
      <xdr:col>5</xdr:col>
      <xdr:colOff>500652</xdr:colOff>
      <xdr:row>33</xdr:row>
      <xdr:rowOff>155274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Nombre_representante 1">
              <a:extLst>
                <a:ext uri="{FF2B5EF4-FFF2-40B4-BE49-F238E27FC236}">
                  <a16:creationId xmlns:a16="http://schemas.microsoft.com/office/drawing/2014/main" id="{8AAF81B4-0855-4E5C-BFF1-0BD91BC60F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_representan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34328" y="4491841"/>
              <a:ext cx="1656779" cy="17594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223402</xdr:colOff>
      <xdr:row>13</xdr:row>
      <xdr:rowOff>50696</xdr:rowOff>
    </xdr:from>
    <xdr:to>
      <xdr:col>3</xdr:col>
      <xdr:colOff>190501</xdr:colOff>
      <xdr:row>33</xdr:row>
      <xdr:rowOff>134053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Mes 1">
              <a:extLst>
                <a:ext uri="{FF2B5EF4-FFF2-40B4-BE49-F238E27FC236}">
                  <a16:creationId xmlns:a16="http://schemas.microsoft.com/office/drawing/2014/main" id="{35573B5F-B8FB-4FBC-BBAF-60AD2FB85E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7402" y="2452151"/>
              <a:ext cx="1479554" cy="37779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2</xdr:col>
      <xdr:colOff>198267</xdr:colOff>
      <xdr:row>6</xdr:row>
      <xdr:rowOff>31660</xdr:rowOff>
    </xdr:from>
    <xdr:to>
      <xdr:col>4</xdr:col>
      <xdr:colOff>481321</xdr:colOff>
      <xdr:row>8</xdr:row>
      <xdr:rowOff>24603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6932C1AF-886C-9E78-0875-221A6E694A32}"/>
            </a:ext>
          </a:extLst>
        </xdr:cNvPr>
        <xdr:cNvSpPr txBox="1"/>
      </xdr:nvSpPr>
      <xdr:spPr>
        <a:xfrm>
          <a:off x="1205196" y="1120231"/>
          <a:ext cx="1807054" cy="35580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800" b="1" kern="1200">
              <a:solidFill>
                <a:schemeClr val="tx1"/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rPr>
            <a:t>Segmentadores</a:t>
          </a:r>
        </a:p>
      </xdr:txBody>
    </xdr:sp>
    <xdr:clientData/>
  </xdr:twoCellAnchor>
  <xdr:twoCellAnchor>
    <xdr:from>
      <xdr:col>12</xdr:col>
      <xdr:colOff>621959</xdr:colOff>
      <xdr:row>11</xdr:row>
      <xdr:rowOff>180744</xdr:rowOff>
    </xdr:from>
    <xdr:to>
      <xdr:col>15</xdr:col>
      <xdr:colOff>147469</xdr:colOff>
      <xdr:row>13</xdr:row>
      <xdr:rowOff>173689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1F1AC555-52F1-4CEE-A70B-5FACC45564DD}"/>
            </a:ext>
          </a:extLst>
        </xdr:cNvPr>
        <xdr:cNvSpPr txBox="1"/>
      </xdr:nvSpPr>
      <xdr:spPr>
        <a:xfrm>
          <a:off x="9211170" y="2263990"/>
          <a:ext cx="1798141" cy="3717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C" sz="1800" b="1" kern="1200">
              <a:solidFill>
                <a:schemeClr val="tx1"/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rPr>
            <a:t>Gráficas</a:t>
          </a:r>
        </a:p>
      </xdr:txBody>
    </xdr:sp>
    <xdr:clientData/>
  </xdr:twoCellAnchor>
  <xdr:twoCellAnchor>
    <xdr:from>
      <xdr:col>7</xdr:col>
      <xdr:colOff>343922</xdr:colOff>
      <xdr:row>30</xdr:row>
      <xdr:rowOff>114861</xdr:rowOff>
    </xdr:from>
    <xdr:to>
      <xdr:col>12</xdr:col>
      <xdr:colOff>266546</xdr:colOff>
      <xdr:row>43</xdr:row>
      <xdr:rowOff>78548</xdr:rowOff>
    </xdr:to>
    <xdr:graphicFrame macro="">
      <xdr:nvGraphicFramePr>
        <xdr:cNvPr id="34" name="Chart 3">
          <a:extLst>
            <a:ext uri="{FF2B5EF4-FFF2-40B4-BE49-F238E27FC236}">
              <a16:creationId xmlns:a16="http://schemas.microsoft.com/office/drawing/2014/main" id="{BB9F1185-2CD9-435C-91D0-CBF6A3EE6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720031</xdr:colOff>
      <xdr:row>5</xdr:row>
      <xdr:rowOff>83671</xdr:rowOff>
    </xdr:from>
    <xdr:to>
      <xdr:col>9</xdr:col>
      <xdr:colOff>414031</xdr:colOff>
      <xdr:row>11</xdr:row>
      <xdr:rowOff>13821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C40EAA97-1A64-AAA1-1E8B-19FB1A6A95E3}"/>
            </a:ext>
          </a:extLst>
        </xdr:cNvPr>
        <xdr:cNvGrpSpPr/>
      </xdr:nvGrpSpPr>
      <xdr:grpSpPr>
        <a:xfrm>
          <a:off x="4884200" y="995925"/>
          <a:ext cx="2076592" cy="1024854"/>
          <a:chOff x="4313115" y="1011748"/>
          <a:chExt cx="1980000" cy="1043842"/>
        </a:xfrm>
      </xdr:grpSpPr>
      <xdr:sp macro="" textlink="">
        <xdr:nvSpPr>
          <xdr:cNvPr id="36" name="Rectángulo: esquinas redondeadas 35">
            <a:extLst>
              <a:ext uri="{FF2B5EF4-FFF2-40B4-BE49-F238E27FC236}">
                <a16:creationId xmlns:a16="http://schemas.microsoft.com/office/drawing/2014/main" id="{9BFFBBE3-F55B-4058-A613-A0FE89AD4FFE}"/>
              </a:ext>
            </a:extLst>
          </xdr:cNvPr>
          <xdr:cNvSpPr/>
        </xdr:nvSpPr>
        <xdr:spPr>
          <a:xfrm>
            <a:off x="4313115" y="1011748"/>
            <a:ext cx="1980000" cy="1043842"/>
          </a:xfrm>
          <a:prstGeom prst="roundRect">
            <a:avLst>
              <a:gd name="adj" fmla="val 13362"/>
            </a:avLst>
          </a:prstGeom>
          <a:solidFill>
            <a:srgbClr val="EEFAFC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EC" sz="1100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7" name="CuadroTexto 36">
            <a:extLst>
              <a:ext uri="{FF2B5EF4-FFF2-40B4-BE49-F238E27FC236}">
                <a16:creationId xmlns:a16="http://schemas.microsoft.com/office/drawing/2014/main" id="{E34B15F8-8172-4ECF-90A5-C20F843E3563}"/>
              </a:ext>
            </a:extLst>
          </xdr:cNvPr>
          <xdr:cNvSpPr txBox="1"/>
        </xdr:nvSpPr>
        <xdr:spPr>
          <a:xfrm>
            <a:off x="4395291" y="1078984"/>
            <a:ext cx="1807054" cy="56083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EC" sz="1400" b="1" kern="1200">
                <a:solidFill>
                  <a:schemeClr val="accent6">
                    <a:lumMod val="75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rPr>
              <a:t>Representante con mas ventas</a:t>
            </a:r>
          </a:p>
        </xdr:txBody>
      </xdr:sp>
      <xdr:sp macro="" textlink="'Tablas Dinamicas'!A78">
        <xdr:nvSpPr>
          <xdr:cNvPr id="38" name="CuadroTexto 37">
            <a:extLst>
              <a:ext uri="{FF2B5EF4-FFF2-40B4-BE49-F238E27FC236}">
                <a16:creationId xmlns:a16="http://schemas.microsoft.com/office/drawing/2014/main" id="{532011ED-2BBD-4DFE-BD15-21A95CCD866F}"/>
              </a:ext>
            </a:extLst>
          </xdr:cNvPr>
          <xdr:cNvSpPr txBox="1"/>
        </xdr:nvSpPr>
        <xdr:spPr>
          <a:xfrm>
            <a:off x="4398280" y="1661231"/>
            <a:ext cx="1807054" cy="3647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AE7AB67D-97DD-4896-B32F-20E4AFECD0A8}" type="TxLink">
              <a:rPr lang="en-US" sz="1400" b="0" i="0" u="none" strike="noStrike" kern="1200">
                <a:solidFill>
                  <a:srgbClr val="000000"/>
                </a:solidFill>
                <a:latin typeface="Aptos Narrow"/>
                <a:ea typeface="Source Sans Pro" panose="020B0503030403020204" pitchFamily="34" charset="0"/>
                <a:cs typeface="+mn-cs"/>
              </a:rPr>
              <a:pPr algn="ctr"/>
              <a:t>Alejandra Morocho</a:t>
            </a:fld>
            <a:endParaRPr lang="es-EC" sz="1800" b="0" kern="1200">
              <a:solidFill>
                <a:schemeClr val="tx1"/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endParaRPr>
          </a:p>
        </xdr:txBody>
      </xdr:sp>
    </xdr:grpSp>
    <xdr:clientData/>
  </xdr:twoCellAnchor>
  <xdr:twoCellAnchor>
    <xdr:from>
      <xdr:col>10</xdr:col>
      <xdr:colOff>499063</xdr:colOff>
      <xdr:row>5</xdr:row>
      <xdr:rowOff>83671</xdr:rowOff>
    </xdr:from>
    <xdr:to>
      <xdr:col>13</xdr:col>
      <xdr:colOff>193063</xdr:colOff>
      <xdr:row>11</xdr:row>
      <xdr:rowOff>13821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3686436-673A-74C1-1BAE-B20D61DE87A8}"/>
            </a:ext>
          </a:extLst>
        </xdr:cNvPr>
        <xdr:cNvGrpSpPr/>
      </xdr:nvGrpSpPr>
      <xdr:grpSpPr>
        <a:xfrm>
          <a:off x="7840021" y="995925"/>
          <a:ext cx="2076591" cy="1024854"/>
          <a:chOff x="6633880" y="1011748"/>
          <a:chExt cx="1980000" cy="1043842"/>
        </a:xfrm>
      </xdr:grpSpPr>
      <xdr:sp macro="" textlink="">
        <xdr:nvSpPr>
          <xdr:cNvPr id="4" name="Rectángulo: esquinas redondeadas 3">
            <a:extLst>
              <a:ext uri="{FF2B5EF4-FFF2-40B4-BE49-F238E27FC236}">
                <a16:creationId xmlns:a16="http://schemas.microsoft.com/office/drawing/2014/main" id="{2A4331EC-F51C-4BD9-B48D-C295DE7DFE4B}"/>
              </a:ext>
            </a:extLst>
          </xdr:cNvPr>
          <xdr:cNvSpPr/>
        </xdr:nvSpPr>
        <xdr:spPr>
          <a:xfrm>
            <a:off x="6633880" y="1011748"/>
            <a:ext cx="1980000" cy="1043842"/>
          </a:xfrm>
          <a:prstGeom prst="roundRect">
            <a:avLst>
              <a:gd name="adj" fmla="val 13362"/>
            </a:avLst>
          </a:prstGeom>
          <a:solidFill>
            <a:srgbClr val="EEFAFC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EC" sz="1100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6C11702E-5641-4772-BDB0-046C8C6A547B}"/>
              </a:ext>
            </a:extLst>
          </xdr:cNvPr>
          <xdr:cNvSpPr txBox="1"/>
        </xdr:nvSpPr>
        <xdr:spPr>
          <a:xfrm>
            <a:off x="6729103" y="1081973"/>
            <a:ext cx="1807054" cy="56083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EC" sz="1400" b="1" kern="1200">
                <a:solidFill>
                  <a:schemeClr val="accent6">
                    <a:lumMod val="75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rPr>
              <a:t>Representante con menos ventas</a:t>
            </a:r>
          </a:p>
        </xdr:txBody>
      </xdr:sp>
      <xdr:sp macro="" textlink="'Tablas Dinamicas'!D78">
        <xdr:nvSpPr>
          <xdr:cNvPr id="40" name="CuadroTexto 39">
            <a:extLst>
              <a:ext uri="{FF2B5EF4-FFF2-40B4-BE49-F238E27FC236}">
                <a16:creationId xmlns:a16="http://schemas.microsoft.com/office/drawing/2014/main" id="{88E625AD-FD63-4414-8832-E3A3ADE6A242}"/>
              </a:ext>
            </a:extLst>
          </xdr:cNvPr>
          <xdr:cNvSpPr txBox="1"/>
        </xdr:nvSpPr>
        <xdr:spPr>
          <a:xfrm>
            <a:off x="6732092" y="1664220"/>
            <a:ext cx="1807054" cy="3647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72FF02FE-3B43-439B-A651-14172497DFBF}" type="TxLink">
              <a:rPr lang="en-US" sz="1400" b="0" i="0" u="none" strike="noStrike" kern="1200">
                <a:solidFill>
                  <a:srgbClr val="000000"/>
                </a:solidFill>
                <a:latin typeface="Aptos Narrow"/>
                <a:ea typeface="Source Sans Pro" panose="020B0503030403020204" pitchFamily="34" charset="0"/>
                <a:cs typeface="+mn-cs"/>
              </a:rPr>
              <a:pPr algn="ctr"/>
              <a:t>Alejandra Morocho</a:t>
            </a:fld>
            <a:endParaRPr lang="es-EC" sz="2400" b="0" kern="1200">
              <a:solidFill>
                <a:schemeClr val="tx1"/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endParaRPr>
          </a:p>
        </xdr:txBody>
      </xdr:sp>
    </xdr:grpSp>
    <xdr:clientData/>
  </xdr:twoCellAnchor>
  <xdr:twoCellAnchor>
    <xdr:from>
      <xdr:col>14</xdr:col>
      <xdr:colOff>278095</xdr:colOff>
      <xdr:row>5</xdr:row>
      <xdr:rowOff>83671</xdr:rowOff>
    </xdr:from>
    <xdr:to>
      <xdr:col>16</xdr:col>
      <xdr:colOff>734095</xdr:colOff>
      <xdr:row>11</xdr:row>
      <xdr:rowOff>13821</xdr:rowOff>
    </xdr:to>
    <xdr:grpSp>
      <xdr:nvGrpSpPr>
        <xdr:cNvPr id="10" name="Grupo 9">
          <a:extLst>
            <a:ext uri="{FF2B5EF4-FFF2-40B4-BE49-F238E27FC236}">
              <a16:creationId xmlns:a16="http://schemas.microsoft.com/office/drawing/2014/main" id="{4C6F390B-E21B-907B-CAF7-79EE61811B89}"/>
            </a:ext>
          </a:extLst>
        </xdr:cNvPr>
        <xdr:cNvGrpSpPr/>
      </xdr:nvGrpSpPr>
      <xdr:grpSpPr>
        <a:xfrm>
          <a:off x="10795841" y="995925"/>
          <a:ext cx="2044395" cy="1024854"/>
          <a:chOff x="8954645" y="1011748"/>
          <a:chExt cx="1980000" cy="1043842"/>
        </a:xfrm>
      </xdr:grpSpPr>
      <xdr:sp macro="" textlink="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067A38CC-8DB7-4920-BEE2-73FC2C9E4425}"/>
              </a:ext>
            </a:extLst>
          </xdr:cNvPr>
          <xdr:cNvSpPr/>
        </xdr:nvSpPr>
        <xdr:spPr>
          <a:xfrm>
            <a:off x="8954645" y="1011748"/>
            <a:ext cx="1980000" cy="1043842"/>
          </a:xfrm>
          <a:prstGeom prst="roundRect">
            <a:avLst>
              <a:gd name="adj" fmla="val 13362"/>
            </a:avLst>
          </a:prstGeom>
          <a:solidFill>
            <a:srgbClr val="EEFAFC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EC" sz="1100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B3965914-3547-4251-965F-306416382A89}"/>
              </a:ext>
            </a:extLst>
          </xdr:cNvPr>
          <xdr:cNvSpPr txBox="1"/>
        </xdr:nvSpPr>
        <xdr:spPr>
          <a:xfrm>
            <a:off x="8974762" y="1077489"/>
            <a:ext cx="1910147" cy="560833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EC" sz="1400" b="1" kern="1200">
                <a:solidFill>
                  <a:schemeClr val="accent6">
                    <a:lumMod val="75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rPr>
              <a:t>Promedio</a:t>
            </a:r>
            <a:r>
              <a:rPr lang="es-EC" sz="1400" b="1" kern="1200" baseline="0">
                <a:solidFill>
                  <a:schemeClr val="accent6">
                    <a:lumMod val="75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rPr>
              <a:t> de ventas por representante</a:t>
            </a:r>
            <a:endParaRPr lang="es-EC" sz="1400" b="1" kern="1200">
              <a:solidFill>
                <a:schemeClr val="accent6">
                  <a:lumMod val="75000"/>
                </a:schemeClr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endParaRPr>
          </a:p>
        </xdr:txBody>
      </xdr:sp>
      <xdr:sp macro="" textlink="'Tablas Dinamicas'!H78">
        <xdr:nvSpPr>
          <xdr:cNvPr id="42" name="CuadroTexto 41">
            <a:extLst>
              <a:ext uri="{FF2B5EF4-FFF2-40B4-BE49-F238E27FC236}">
                <a16:creationId xmlns:a16="http://schemas.microsoft.com/office/drawing/2014/main" id="{231CA7BB-19F8-4D70-A2E7-E6C9DAEF4EF2}"/>
              </a:ext>
            </a:extLst>
          </xdr:cNvPr>
          <xdr:cNvSpPr txBox="1"/>
        </xdr:nvSpPr>
        <xdr:spPr>
          <a:xfrm>
            <a:off x="9028550" y="1667208"/>
            <a:ext cx="1807054" cy="3647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0D3BFE22-8DD9-4D85-A644-44BF7CC6DE24}" type="TxLink">
              <a:rPr lang="en-US" sz="1400" b="0" i="0" u="none" strike="noStrike" kern="1200">
                <a:solidFill>
                  <a:srgbClr val="000000"/>
                </a:solidFill>
                <a:latin typeface="Aptos Narrow"/>
                <a:ea typeface="Source Sans Pro" panose="020B0503030403020204" pitchFamily="34" charset="0"/>
                <a:cs typeface="+mn-cs"/>
              </a:rPr>
              <a:pPr algn="ctr"/>
              <a:t>$27.437,50</a:t>
            </a:fld>
            <a:endParaRPr lang="en-US" sz="1400" b="0" i="0" u="none" strike="noStrike" kern="1200">
              <a:solidFill>
                <a:srgbClr val="000000"/>
              </a:solidFill>
              <a:latin typeface="Aptos Narrow"/>
              <a:ea typeface="Source Sans Pro" panose="020B0503030403020204" pitchFamily="34" charset="0"/>
              <a:cs typeface="+mn-cs"/>
            </a:endParaRPr>
          </a:p>
        </xdr:txBody>
      </xdr:sp>
    </xdr:grpSp>
    <xdr:clientData/>
  </xdr:twoCellAnchor>
  <xdr:twoCellAnchor>
    <xdr:from>
      <xdr:col>18</xdr:col>
      <xdr:colOff>99459</xdr:colOff>
      <xdr:row>5</xdr:row>
      <xdr:rowOff>83671</xdr:rowOff>
    </xdr:from>
    <xdr:to>
      <xdr:col>20</xdr:col>
      <xdr:colOff>557949</xdr:colOff>
      <xdr:row>11</xdr:row>
      <xdr:rowOff>13821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44E5AE9F-AC87-0314-D017-3DFF9CE8F641}"/>
            </a:ext>
          </a:extLst>
        </xdr:cNvPr>
        <xdr:cNvGrpSpPr/>
      </xdr:nvGrpSpPr>
      <xdr:grpSpPr>
        <a:xfrm>
          <a:off x="13697403" y="995925"/>
          <a:ext cx="2046884" cy="1024854"/>
          <a:chOff x="12470252" y="1017495"/>
          <a:chExt cx="1980000" cy="1050738"/>
        </a:xfrm>
      </xdr:grpSpPr>
      <xdr:sp macro="" textlink="">
        <xdr:nvSpPr>
          <xdr:cNvPr id="6" name="Rectángulo: esquinas redondeadas 5">
            <a:extLst>
              <a:ext uri="{FF2B5EF4-FFF2-40B4-BE49-F238E27FC236}">
                <a16:creationId xmlns:a16="http://schemas.microsoft.com/office/drawing/2014/main" id="{066BB96D-A1F4-4EC4-A850-46C07F48FE39}"/>
              </a:ext>
            </a:extLst>
          </xdr:cNvPr>
          <xdr:cNvSpPr/>
        </xdr:nvSpPr>
        <xdr:spPr>
          <a:xfrm>
            <a:off x="12470252" y="1017495"/>
            <a:ext cx="1980000" cy="1050738"/>
          </a:xfrm>
          <a:prstGeom prst="roundRect">
            <a:avLst>
              <a:gd name="adj" fmla="val 13362"/>
            </a:avLst>
          </a:prstGeom>
          <a:solidFill>
            <a:srgbClr val="EEFAFC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es-EC" sz="1100" kern="12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'Tablas Dinamicas'!K78">
        <xdr:nvSpPr>
          <xdr:cNvPr id="44" name="CuadroTexto 43">
            <a:extLst>
              <a:ext uri="{FF2B5EF4-FFF2-40B4-BE49-F238E27FC236}">
                <a16:creationId xmlns:a16="http://schemas.microsoft.com/office/drawing/2014/main" id="{D639B7E7-C6FC-4038-A015-B0AC3F770A8A}"/>
              </a:ext>
            </a:extLst>
          </xdr:cNvPr>
          <xdr:cNvSpPr txBox="1"/>
        </xdr:nvSpPr>
        <xdr:spPr>
          <a:xfrm>
            <a:off x="12557205" y="1684727"/>
            <a:ext cx="1807054" cy="361722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349E4143-7F9E-4BFF-8FC1-A03658695533}" type="TxLink">
              <a:rPr lang="en-US" sz="1400" b="0" i="0" u="none" strike="noStrike" kern="1200">
                <a:solidFill>
                  <a:srgbClr val="000000"/>
                </a:solidFill>
                <a:latin typeface="Aptos Narrow"/>
                <a:ea typeface="Source Sans Pro" panose="020B0503030403020204" pitchFamily="34" charset="0"/>
                <a:cs typeface="+mn-cs"/>
              </a:rPr>
              <a:pPr algn="ctr"/>
              <a:t>$30.493,33</a:t>
            </a:fld>
            <a:endParaRPr lang="es-EC" sz="2400" b="0" kern="1200">
              <a:solidFill>
                <a:schemeClr val="tx1"/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endParaRPr>
          </a:p>
        </xdr:txBody>
      </xdr:sp>
      <xdr:sp macro="" textlink="">
        <xdr:nvSpPr>
          <xdr:cNvPr id="45" name="CuadroTexto 44">
            <a:extLst>
              <a:ext uri="{FF2B5EF4-FFF2-40B4-BE49-F238E27FC236}">
                <a16:creationId xmlns:a16="http://schemas.microsoft.com/office/drawing/2014/main" id="{4779CEDF-0B39-406B-BC30-2CDE49679AAF}"/>
              </a:ext>
            </a:extLst>
          </xdr:cNvPr>
          <xdr:cNvSpPr txBox="1"/>
        </xdr:nvSpPr>
        <xdr:spPr>
          <a:xfrm>
            <a:off x="12488475" y="1078754"/>
            <a:ext cx="1910147" cy="564281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EC" sz="1400" b="1" kern="1200">
                <a:solidFill>
                  <a:schemeClr val="accent6">
                    <a:lumMod val="75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rPr>
              <a:t>Promedio</a:t>
            </a:r>
            <a:r>
              <a:rPr lang="es-EC" sz="1400" b="1" kern="1200" baseline="0">
                <a:solidFill>
                  <a:schemeClr val="accent6">
                    <a:lumMod val="75000"/>
                  </a:schemeClr>
                </a:solidFill>
                <a:latin typeface="Source Sans Pro" panose="020B0503030403020204" pitchFamily="34" charset="0"/>
                <a:ea typeface="Source Sans Pro" panose="020B0503030403020204" pitchFamily="34" charset="0"/>
                <a:cs typeface="+mn-cs"/>
              </a:rPr>
              <a:t> de ventas por ciudad</a:t>
            </a:r>
            <a:endParaRPr lang="es-EC" sz="1400" b="1" kern="1200">
              <a:solidFill>
                <a:schemeClr val="accent6">
                  <a:lumMod val="75000"/>
                </a:schemeClr>
              </a:solidFill>
              <a:latin typeface="Source Sans Pro" panose="020B0503030403020204" pitchFamily="34" charset="0"/>
              <a:ea typeface="Source Sans Pro" panose="020B0503030403020204" pitchFamily="34" charset="0"/>
              <a:cs typeface="+mn-cs"/>
            </a:endParaRPr>
          </a:p>
        </xdr:txBody>
      </xdr:sp>
    </xdr:grpSp>
    <xdr:clientData/>
  </xdr:twoCellAnchor>
  <xdr:twoCellAnchor>
    <xdr:from>
      <xdr:col>10</xdr:col>
      <xdr:colOff>104955</xdr:colOff>
      <xdr:row>16</xdr:row>
      <xdr:rowOff>127978</xdr:rowOff>
    </xdr:from>
    <xdr:to>
      <xdr:col>15</xdr:col>
      <xdr:colOff>385857</xdr:colOff>
      <xdr:row>28</xdr:row>
      <xdr:rowOff>20221</xdr:rowOff>
    </xdr:to>
    <xdr:graphicFrame macro="">
      <xdr:nvGraphicFramePr>
        <xdr:cNvPr id="14" name="Chart 5">
          <a:extLst>
            <a:ext uri="{FF2B5EF4-FFF2-40B4-BE49-F238E27FC236}">
              <a16:creationId xmlns:a16="http://schemas.microsoft.com/office/drawing/2014/main" id="{8A1BB40F-2C76-43FA-9BC8-4D522218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153746</xdr:colOff>
      <xdr:row>29</xdr:row>
      <xdr:rowOff>66788</xdr:rowOff>
    </xdr:from>
    <xdr:to>
      <xdr:col>20</xdr:col>
      <xdr:colOff>508643</xdr:colOff>
      <xdr:row>44</xdr:row>
      <xdr:rowOff>91419</xdr:rowOff>
    </xdr:to>
    <xdr:graphicFrame macro="">
      <xdr:nvGraphicFramePr>
        <xdr:cNvPr id="15" name="Chart 7">
          <a:extLst>
            <a:ext uri="{FF2B5EF4-FFF2-40B4-BE49-F238E27FC236}">
              <a16:creationId xmlns:a16="http://schemas.microsoft.com/office/drawing/2014/main" id="{A4A495F3-A7D2-4059-84FC-8243E044A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243191</xdr:colOff>
      <xdr:row>16</xdr:row>
      <xdr:rowOff>162451</xdr:rowOff>
    </xdr:from>
    <xdr:to>
      <xdr:col>9</xdr:col>
      <xdr:colOff>483337</xdr:colOff>
      <xdr:row>26</xdr:row>
      <xdr:rowOff>171913</xdr:rowOff>
    </xdr:to>
    <xdr:graphicFrame macro="">
      <xdr:nvGraphicFramePr>
        <xdr:cNvPr id="17" name="Chart 8">
          <a:extLst>
            <a:ext uri="{FF2B5EF4-FFF2-40B4-BE49-F238E27FC236}">
              <a16:creationId xmlns:a16="http://schemas.microsoft.com/office/drawing/2014/main" id="{E161F420-A0F3-4C4E-8D97-0BDDBF90F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542081</xdr:colOff>
      <xdr:row>16</xdr:row>
      <xdr:rowOff>22643</xdr:rowOff>
    </xdr:from>
    <xdr:to>
      <xdr:col>20</xdr:col>
      <xdr:colOff>265253</xdr:colOff>
      <xdr:row>28</xdr:row>
      <xdr:rowOff>53939</xdr:rowOff>
    </xdr:to>
    <xdr:graphicFrame macro="">
      <xdr:nvGraphicFramePr>
        <xdr:cNvPr id="18" name="Chart 6">
          <a:extLst>
            <a:ext uri="{FF2B5EF4-FFF2-40B4-BE49-F238E27FC236}">
              <a16:creationId xmlns:a16="http://schemas.microsoft.com/office/drawing/2014/main" id="{28EE2A11-741D-4D8A-BB8B-CBF5E4D39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Del Valle" refreshedDate="45631.040538310182" createdVersion="8" refreshedVersion="8" minRefreshableVersion="3" recordCount="100" xr:uid="{0AA454CF-567E-476A-923B-ABEEF26E0F9B}">
  <cacheSource type="worksheet">
    <worksheetSource name="Ventas"/>
  </cacheSource>
  <cacheFields count="8">
    <cacheField name="Num_venta" numFmtId="0">
      <sharedItems containsSemiMixedTypes="0" containsString="0" containsNumber="1" containsInteger="1" minValue="1" maxValue="100"/>
    </cacheField>
    <cacheField name="Fecha" numFmtId="14">
      <sharedItems containsNonDate="0" count="98">
        <s v="01/01/2023"/>
        <s v="05/01/2023"/>
        <s v="09/01/2023"/>
        <s v="13/01/2023"/>
        <s v="17/01/2023"/>
        <s v="21/01/2023"/>
        <s v="25/01/2023"/>
        <s v="29/01/2023"/>
        <s v="02/02/2023"/>
        <s v="06/02/2023"/>
        <s v="10/02/2023"/>
        <s v="14/02/2023"/>
        <s v="18/02/2023"/>
        <s v="22/02/2023"/>
        <s v="26/02/2023"/>
        <s v="03/03/2023"/>
        <s v="06/03/2023"/>
        <s v="10/03/2023"/>
        <s v="14/03/2023"/>
        <s v="18/03/2023"/>
        <s v="22/03/2023"/>
        <s v="26/03/2023"/>
        <s v="30/03/2023"/>
        <s v="03/04/2023"/>
        <s v="07/04/2023"/>
        <s v="11/04/2023"/>
        <s v="15/04/2023"/>
        <s v="19/04/2023"/>
        <s v="23/04/2023"/>
        <s v="27/04/2023"/>
        <s v="01/05/2023"/>
        <s v="05/05/2023"/>
        <s v="09/05/2023"/>
        <s v="13/05/2023"/>
        <s v="17/05/2023"/>
        <s v="21/05/2023"/>
        <s v="29/05/2023"/>
        <s v="02/06/2023"/>
        <s v="06/06/2023"/>
        <s v="10/06/2023"/>
        <s v="14/06/2023"/>
        <s v="18/06/2023"/>
        <s v="22/06/2023"/>
        <s v="26/06/2023"/>
        <s v="30/06/2023"/>
        <s v="04/07/2023"/>
        <s v="08/07/2023"/>
        <s v="12/07/2023"/>
        <s v="16/07/2023"/>
        <s v="20/07/2023"/>
        <s v="24/07/2023"/>
        <s v="28/07/2023"/>
        <s v="01/08/2023"/>
        <s v="05/08/2023"/>
        <s v="09/08/2023"/>
        <s v="13/08/2023"/>
        <s v="17/08/2023"/>
        <s v="21/08/2023"/>
        <s v="25/08/2023"/>
        <s v="29/08/2023"/>
        <s v="02/09/2023"/>
        <s v="06/09/2023"/>
        <s v="10/09/2023"/>
        <s v="14/09/2023"/>
        <s v="18/09/2023"/>
        <s v="22/09/2023"/>
        <s v="26/09/2023"/>
        <s v="30/09/2023"/>
        <s v="04/10/2023"/>
        <s v="08/10/2023"/>
        <s v="12/10/2023"/>
        <s v="16/10/2023"/>
        <s v="20/10/2023"/>
        <s v="24/10/2023"/>
        <s v="28/10/2023"/>
        <s v="01/11/2023"/>
        <s v="05/11/2023"/>
        <s v="09/11/2023"/>
        <s v="13/11/2023"/>
        <s v="17/11/2023"/>
        <s v="21/11/2023"/>
        <s v="25/11/2023"/>
        <s v="29/11/2023"/>
        <s v="03/12/2023"/>
        <s v="07/12/2023"/>
        <s v="09/12/2023"/>
        <s v="15/12/2023"/>
        <s v="16/12/2023"/>
        <s v="19/12/2023"/>
        <s v="20/12/2023"/>
        <s v="21/12/2023"/>
        <s v="22/12/2023"/>
        <s v="24/12/2023"/>
        <s v="27/12/2023"/>
        <s v="28/12/2023"/>
        <s v="29/12/2023"/>
        <s v="30/12/2023"/>
        <s v="31/12/2023"/>
      </sharedItems>
    </cacheField>
    <cacheField name="Ciudad" numFmtId="0">
      <sharedItems count="4">
        <s v="Quito"/>
        <s v="Loja"/>
        <s v="Riobamba"/>
        <s v="Cuenca"/>
      </sharedItems>
    </cacheField>
    <cacheField name="Nombre_representante" numFmtId="0">
      <sharedItems count="5">
        <s v="Carolina Zambrano"/>
        <s v="Andres Paredes"/>
        <s v="Marco Pérez"/>
        <s v="Alejandra Morocho"/>
        <s v="Juan Barreno"/>
      </sharedItems>
    </cacheField>
    <cacheField name="Marca_vehículo" numFmtId="0">
      <sharedItems count="6">
        <s v="Citroen"/>
        <s v="Audi"/>
        <s v="Hyundai"/>
        <s v="Nissan"/>
        <s v="Kia"/>
        <s v="Volkswagen"/>
      </sharedItems>
    </cacheField>
    <cacheField name="Categoría_vehículo" numFmtId="0">
      <sharedItems count="3">
        <s v="automóvil"/>
        <s v="camioneta"/>
        <s v="SUV"/>
      </sharedItems>
    </cacheField>
    <cacheField name="Valor" numFmtId="164">
      <sharedItems containsSemiMixedTypes="0" containsString="0" containsNumber="1" containsInteger="1" minValue="16000" maxValue="42300" count="81">
        <n v="24100"/>
        <n v="35700"/>
        <n v="23800"/>
        <n v="22200"/>
        <n v="24300"/>
        <n v="38200"/>
        <n v="30700"/>
        <n v="27300"/>
        <n v="16000"/>
        <n v="36200"/>
        <n v="21300"/>
        <n v="35000"/>
        <n v="37400"/>
        <n v="27200"/>
        <n v="33300"/>
        <n v="30200"/>
        <n v="34800"/>
        <n v="29900"/>
        <n v="39800"/>
        <n v="16600"/>
        <n v="17500"/>
        <n v="26500"/>
        <n v="30400"/>
        <n v="21800"/>
        <n v="29600"/>
        <n v="23200"/>
        <n v="28000"/>
        <n v="25400"/>
        <n v="23500"/>
        <n v="34000"/>
        <n v="22100"/>
        <n v="32100"/>
        <n v="31900"/>
        <n v="34500"/>
        <n v="27500"/>
        <n v="40400"/>
        <n v="42000"/>
        <n v="27900"/>
        <n v="22000"/>
        <n v="39000"/>
        <n v="26200"/>
        <n v="32600"/>
        <n v="30500"/>
        <n v="21100"/>
        <n v="21200"/>
        <n v="35500"/>
        <n v="24000"/>
        <n v="18800"/>
        <n v="23300"/>
        <n v="38500"/>
        <n v="32900"/>
        <n v="31400"/>
        <n v="32000"/>
        <n v="29700"/>
        <n v="42300"/>
        <n v="25900"/>
        <n v="28600"/>
        <n v="28300"/>
        <n v="24900"/>
        <n v="19000"/>
        <n v="25100"/>
        <n v="24400"/>
        <n v="37900"/>
        <n v="26700"/>
        <n v="33100"/>
        <n v="19900"/>
        <n v="26000"/>
        <n v="36700"/>
        <n v="36400"/>
        <n v="23000"/>
        <n v="16700"/>
        <n v="37800"/>
        <n v="39700"/>
        <n v="33700"/>
        <n v="23700"/>
        <n v="31300"/>
        <n v="29800"/>
        <n v="36800"/>
        <n v="34600"/>
        <n v="27700"/>
        <n v="25800"/>
      </sharedItems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</cacheFields>
  <extLst>
    <ext xmlns:x14="http://schemas.microsoft.com/office/spreadsheetml/2009/9/main" uri="{725AE2AE-9491-48be-B2B4-4EB974FC3084}">
      <x14:pivotCacheDefinition pivotCacheId="10705334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x v="0"/>
    <x v="0"/>
    <x v="0"/>
    <x v="0"/>
    <x v="0"/>
  </r>
  <r>
    <n v="2"/>
    <x v="1"/>
    <x v="1"/>
    <x v="1"/>
    <x v="1"/>
    <x v="1"/>
    <x v="1"/>
    <x v="0"/>
  </r>
  <r>
    <n v="3"/>
    <x v="2"/>
    <x v="2"/>
    <x v="2"/>
    <x v="2"/>
    <x v="0"/>
    <x v="2"/>
    <x v="0"/>
  </r>
  <r>
    <n v="4"/>
    <x v="3"/>
    <x v="3"/>
    <x v="3"/>
    <x v="0"/>
    <x v="0"/>
    <x v="3"/>
    <x v="0"/>
  </r>
  <r>
    <n v="5"/>
    <x v="4"/>
    <x v="1"/>
    <x v="1"/>
    <x v="0"/>
    <x v="2"/>
    <x v="4"/>
    <x v="0"/>
  </r>
  <r>
    <n v="6"/>
    <x v="5"/>
    <x v="2"/>
    <x v="2"/>
    <x v="0"/>
    <x v="1"/>
    <x v="5"/>
    <x v="0"/>
  </r>
  <r>
    <n v="7"/>
    <x v="6"/>
    <x v="0"/>
    <x v="0"/>
    <x v="1"/>
    <x v="2"/>
    <x v="6"/>
    <x v="0"/>
  </r>
  <r>
    <n v="8"/>
    <x v="7"/>
    <x v="0"/>
    <x v="0"/>
    <x v="0"/>
    <x v="0"/>
    <x v="7"/>
    <x v="0"/>
  </r>
  <r>
    <n v="9"/>
    <x v="8"/>
    <x v="0"/>
    <x v="4"/>
    <x v="2"/>
    <x v="0"/>
    <x v="8"/>
    <x v="1"/>
  </r>
  <r>
    <n v="10"/>
    <x v="9"/>
    <x v="2"/>
    <x v="2"/>
    <x v="1"/>
    <x v="1"/>
    <x v="9"/>
    <x v="1"/>
  </r>
  <r>
    <n v="11"/>
    <x v="10"/>
    <x v="2"/>
    <x v="2"/>
    <x v="3"/>
    <x v="0"/>
    <x v="10"/>
    <x v="1"/>
  </r>
  <r>
    <n v="12"/>
    <x v="11"/>
    <x v="0"/>
    <x v="0"/>
    <x v="0"/>
    <x v="2"/>
    <x v="11"/>
    <x v="1"/>
  </r>
  <r>
    <n v="13"/>
    <x v="12"/>
    <x v="0"/>
    <x v="4"/>
    <x v="3"/>
    <x v="1"/>
    <x v="12"/>
    <x v="1"/>
  </r>
  <r>
    <n v="14"/>
    <x v="13"/>
    <x v="0"/>
    <x v="4"/>
    <x v="4"/>
    <x v="2"/>
    <x v="13"/>
    <x v="1"/>
  </r>
  <r>
    <n v="15"/>
    <x v="14"/>
    <x v="1"/>
    <x v="1"/>
    <x v="1"/>
    <x v="0"/>
    <x v="14"/>
    <x v="1"/>
  </r>
  <r>
    <n v="16"/>
    <x v="15"/>
    <x v="1"/>
    <x v="1"/>
    <x v="2"/>
    <x v="2"/>
    <x v="15"/>
    <x v="2"/>
  </r>
  <r>
    <n v="17"/>
    <x v="16"/>
    <x v="1"/>
    <x v="1"/>
    <x v="0"/>
    <x v="1"/>
    <x v="16"/>
    <x v="2"/>
  </r>
  <r>
    <n v="18"/>
    <x v="17"/>
    <x v="0"/>
    <x v="4"/>
    <x v="5"/>
    <x v="2"/>
    <x v="17"/>
    <x v="2"/>
  </r>
  <r>
    <n v="19"/>
    <x v="18"/>
    <x v="0"/>
    <x v="4"/>
    <x v="1"/>
    <x v="1"/>
    <x v="18"/>
    <x v="2"/>
  </r>
  <r>
    <n v="20"/>
    <x v="19"/>
    <x v="3"/>
    <x v="3"/>
    <x v="2"/>
    <x v="0"/>
    <x v="19"/>
    <x v="2"/>
  </r>
  <r>
    <n v="21"/>
    <x v="20"/>
    <x v="3"/>
    <x v="3"/>
    <x v="3"/>
    <x v="0"/>
    <x v="20"/>
    <x v="2"/>
  </r>
  <r>
    <n v="22"/>
    <x v="21"/>
    <x v="0"/>
    <x v="0"/>
    <x v="0"/>
    <x v="0"/>
    <x v="21"/>
    <x v="2"/>
  </r>
  <r>
    <n v="23"/>
    <x v="22"/>
    <x v="0"/>
    <x v="0"/>
    <x v="0"/>
    <x v="1"/>
    <x v="22"/>
    <x v="2"/>
  </r>
  <r>
    <n v="24"/>
    <x v="23"/>
    <x v="0"/>
    <x v="0"/>
    <x v="0"/>
    <x v="2"/>
    <x v="23"/>
    <x v="3"/>
  </r>
  <r>
    <n v="25"/>
    <x v="24"/>
    <x v="0"/>
    <x v="0"/>
    <x v="0"/>
    <x v="1"/>
    <x v="24"/>
    <x v="3"/>
  </r>
  <r>
    <n v="26"/>
    <x v="25"/>
    <x v="1"/>
    <x v="1"/>
    <x v="2"/>
    <x v="0"/>
    <x v="25"/>
    <x v="3"/>
  </r>
  <r>
    <n v="27"/>
    <x v="26"/>
    <x v="3"/>
    <x v="3"/>
    <x v="1"/>
    <x v="0"/>
    <x v="26"/>
    <x v="3"/>
  </r>
  <r>
    <n v="28"/>
    <x v="27"/>
    <x v="2"/>
    <x v="2"/>
    <x v="4"/>
    <x v="0"/>
    <x v="27"/>
    <x v="3"/>
  </r>
  <r>
    <n v="29"/>
    <x v="28"/>
    <x v="3"/>
    <x v="3"/>
    <x v="3"/>
    <x v="0"/>
    <x v="28"/>
    <x v="3"/>
  </r>
  <r>
    <n v="30"/>
    <x v="29"/>
    <x v="1"/>
    <x v="1"/>
    <x v="3"/>
    <x v="1"/>
    <x v="29"/>
    <x v="3"/>
  </r>
  <r>
    <n v="31"/>
    <x v="30"/>
    <x v="1"/>
    <x v="1"/>
    <x v="2"/>
    <x v="2"/>
    <x v="30"/>
    <x v="4"/>
  </r>
  <r>
    <n v="32"/>
    <x v="31"/>
    <x v="0"/>
    <x v="0"/>
    <x v="1"/>
    <x v="2"/>
    <x v="31"/>
    <x v="4"/>
  </r>
  <r>
    <n v="33"/>
    <x v="32"/>
    <x v="0"/>
    <x v="4"/>
    <x v="4"/>
    <x v="1"/>
    <x v="32"/>
    <x v="4"/>
  </r>
  <r>
    <n v="34"/>
    <x v="33"/>
    <x v="1"/>
    <x v="1"/>
    <x v="1"/>
    <x v="2"/>
    <x v="33"/>
    <x v="4"/>
  </r>
  <r>
    <n v="35"/>
    <x v="34"/>
    <x v="0"/>
    <x v="4"/>
    <x v="0"/>
    <x v="2"/>
    <x v="23"/>
    <x v="4"/>
  </r>
  <r>
    <n v="36"/>
    <x v="35"/>
    <x v="1"/>
    <x v="1"/>
    <x v="3"/>
    <x v="0"/>
    <x v="34"/>
    <x v="4"/>
  </r>
  <r>
    <n v="37"/>
    <x v="35"/>
    <x v="0"/>
    <x v="4"/>
    <x v="1"/>
    <x v="2"/>
    <x v="35"/>
    <x v="4"/>
  </r>
  <r>
    <n v="38"/>
    <x v="36"/>
    <x v="3"/>
    <x v="3"/>
    <x v="5"/>
    <x v="1"/>
    <x v="36"/>
    <x v="4"/>
  </r>
  <r>
    <n v="39"/>
    <x v="37"/>
    <x v="0"/>
    <x v="4"/>
    <x v="3"/>
    <x v="1"/>
    <x v="37"/>
    <x v="5"/>
  </r>
  <r>
    <n v="40"/>
    <x v="38"/>
    <x v="0"/>
    <x v="0"/>
    <x v="4"/>
    <x v="0"/>
    <x v="38"/>
    <x v="5"/>
  </r>
  <r>
    <n v="41"/>
    <x v="39"/>
    <x v="3"/>
    <x v="3"/>
    <x v="4"/>
    <x v="1"/>
    <x v="39"/>
    <x v="5"/>
  </r>
  <r>
    <n v="42"/>
    <x v="40"/>
    <x v="2"/>
    <x v="2"/>
    <x v="5"/>
    <x v="2"/>
    <x v="40"/>
    <x v="5"/>
  </r>
  <r>
    <n v="43"/>
    <x v="41"/>
    <x v="0"/>
    <x v="0"/>
    <x v="2"/>
    <x v="2"/>
    <x v="41"/>
    <x v="5"/>
  </r>
  <r>
    <n v="44"/>
    <x v="42"/>
    <x v="3"/>
    <x v="3"/>
    <x v="4"/>
    <x v="1"/>
    <x v="34"/>
    <x v="5"/>
  </r>
  <r>
    <n v="45"/>
    <x v="43"/>
    <x v="3"/>
    <x v="3"/>
    <x v="3"/>
    <x v="1"/>
    <x v="42"/>
    <x v="5"/>
  </r>
  <r>
    <n v="46"/>
    <x v="44"/>
    <x v="0"/>
    <x v="4"/>
    <x v="0"/>
    <x v="2"/>
    <x v="43"/>
    <x v="5"/>
  </r>
  <r>
    <n v="47"/>
    <x v="45"/>
    <x v="1"/>
    <x v="1"/>
    <x v="0"/>
    <x v="2"/>
    <x v="44"/>
    <x v="6"/>
  </r>
  <r>
    <n v="48"/>
    <x v="46"/>
    <x v="1"/>
    <x v="1"/>
    <x v="4"/>
    <x v="1"/>
    <x v="45"/>
    <x v="6"/>
  </r>
  <r>
    <n v="49"/>
    <x v="47"/>
    <x v="2"/>
    <x v="2"/>
    <x v="0"/>
    <x v="1"/>
    <x v="46"/>
    <x v="6"/>
  </r>
  <r>
    <n v="50"/>
    <x v="48"/>
    <x v="1"/>
    <x v="1"/>
    <x v="5"/>
    <x v="0"/>
    <x v="47"/>
    <x v="6"/>
  </r>
  <r>
    <n v="51"/>
    <x v="49"/>
    <x v="3"/>
    <x v="3"/>
    <x v="2"/>
    <x v="1"/>
    <x v="48"/>
    <x v="6"/>
  </r>
  <r>
    <n v="52"/>
    <x v="50"/>
    <x v="0"/>
    <x v="4"/>
    <x v="1"/>
    <x v="1"/>
    <x v="49"/>
    <x v="6"/>
  </r>
  <r>
    <n v="53"/>
    <x v="51"/>
    <x v="1"/>
    <x v="1"/>
    <x v="1"/>
    <x v="2"/>
    <x v="50"/>
    <x v="6"/>
  </r>
  <r>
    <n v="54"/>
    <x v="52"/>
    <x v="3"/>
    <x v="3"/>
    <x v="1"/>
    <x v="2"/>
    <x v="51"/>
    <x v="7"/>
  </r>
  <r>
    <n v="55"/>
    <x v="53"/>
    <x v="0"/>
    <x v="4"/>
    <x v="2"/>
    <x v="1"/>
    <x v="52"/>
    <x v="7"/>
  </r>
  <r>
    <n v="56"/>
    <x v="54"/>
    <x v="0"/>
    <x v="4"/>
    <x v="1"/>
    <x v="2"/>
    <x v="36"/>
    <x v="7"/>
  </r>
  <r>
    <n v="57"/>
    <x v="55"/>
    <x v="1"/>
    <x v="1"/>
    <x v="5"/>
    <x v="1"/>
    <x v="53"/>
    <x v="7"/>
  </r>
  <r>
    <n v="58"/>
    <x v="56"/>
    <x v="2"/>
    <x v="2"/>
    <x v="1"/>
    <x v="2"/>
    <x v="54"/>
    <x v="7"/>
  </r>
  <r>
    <n v="59"/>
    <x v="57"/>
    <x v="1"/>
    <x v="1"/>
    <x v="0"/>
    <x v="2"/>
    <x v="14"/>
    <x v="7"/>
  </r>
  <r>
    <n v="60"/>
    <x v="58"/>
    <x v="0"/>
    <x v="4"/>
    <x v="4"/>
    <x v="1"/>
    <x v="55"/>
    <x v="7"/>
  </r>
  <r>
    <n v="61"/>
    <x v="59"/>
    <x v="3"/>
    <x v="3"/>
    <x v="3"/>
    <x v="2"/>
    <x v="56"/>
    <x v="7"/>
  </r>
  <r>
    <n v="62"/>
    <x v="60"/>
    <x v="1"/>
    <x v="1"/>
    <x v="3"/>
    <x v="2"/>
    <x v="55"/>
    <x v="8"/>
  </r>
  <r>
    <n v="63"/>
    <x v="61"/>
    <x v="0"/>
    <x v="4"/>
    <x v="3"/>
    <x v="1"/>
    <x v="33"/>
    <x v="8"/>
  </r>
  <r>
    <n v="64"/>
    <x v="62"/>
    <x v="3"/>
    <x v="3"/>
    <x v="3"/>
    <x v="2"/>
    <x v="38"/>
    <x v="8"/>
  </r>
  <r>
    <n v="65"/>
    <x v="63"/>
    <x v="0"/>
    <x v="0"/>
    <x v="0"/>
    <x v="0"/>
    <x v="57"/>
    <x v="8"/>
  </r>
  <r>
    <n v="66"/>
    <x v="64"/>
    <x v="0"/>
    <x v="0"/>
    <x v="5"/>
    <x v="0"/>
    <x v="58"/>
    <x v="8"/>
  </r>
  <r>
    <n v="67"/>
    <x v="65"/>
    <x v="0"/>
    <x v="4"/>
    <x v="1"/>
    <x v="0"/>
    <x v="37"/>
    <x v="8"/>
  </r>
  <r>
    <n v="68"/>
    <x v="66"/>
    <x v="1"/>
    <x v="1"/>
    <x v="5"/>
    <x v="0"/>
    <x v="59"/>
    <x v="8"/>
  </r>
  <r>
    <n v="69"/>
    <x v="67"/>
    <x v="0"/>
    <x v="0"/>
    <x v="1"/>
    <x v="0"/>
    <x v="37"/>
    <x v="8"/>
  </r>
  <r>
    <n v="70"/>
    <x v="68"/>
    <x v="2"/>
    <x v="2"/>
    <x v="5"/>
    <x v="1"/>
    <x v="60"/>
    <x v="9"/>
  </r>
  <r>
    <n v="71"/>
    <x v="69"/>
    <x v="3"/>
    <x v="3"/>
    <x v="2"/>
    <x v="0"/>
    <x v="61"/>
    <x v="9"/>
  </r>
  <r>
    <n v="72"/>
    <x v="70"/>
    <x v="1"/>
    <x v="1"/>
    <x v="2"/>
    <x v="2"/>
    <x v="30"/>
    <x v="9"/>
  </r>
  <r>
    <n v="73"/>
    <x v="71"/>
    <x v="1"/>
    <x v="1"/>
    <x v="1"/>
    <x v="2"/>
    <x v="62"/>
    <x v="9"/>
  </r>
  <r>
    <n v="74"/>
    <x v="72"/>
    <x v="0"/>
    <x v="0"/>
    <x v="0"/>
    <x v="2"/>
    <x v="63"/>
    <x v="9"/>
  </r>
  <r>
    <n v="75"/>
    <x v="73"/>
    <x v="2"/>
    <x v="2"/>
    <x v="4"/>
    <x v="1"/>
    <x v="64"/>
    <x v="9"/>
  </r>
  <r>
    <n v="76"/>
    <x v="74"/>
    <x v="0"/>
    <x v="4"/>
    <x v="3"/>
    <x v="0"/>
    <x v="21"/>
    <x v="9"/>
  </r>
  <r>
    <n v="77"/>
    <x v="75"/>
    <x v="0"/>
    <x v="4"/>
    <x v="1"/>
    <x v="0"/>
    <x v="6"/>
    <x v="10"/>
  </r>
  <r>
    <n v="78"/>
    <x v="76"/>
    <x v="0"/>
    <x v="0"/>
    <x v="0"/>
    <x v="2"/>
    <x v="40"/>
    <x v="10"/>
  </r>
  <r>
    <n v="79"/>
    <x v="77"/>
    <x v="2"/>
    <x v="2"/>
    <x v="4"/>
    <x v="0"/>
    <x v="65"/>
    <x v="10"/>
  </r>
  <r>
    <n v="80"/>
    <x v="78"/>
    <x v="0"/>
    <x v="0"/>
    <x v="2"/>
    <x v="0"/>
    <x v="66"/>
    <x v="10"/>
  </r>
  <r>
    <n v="81"/>
    <x v="79"/>
    <x v="0"/>
    <x v="0"/>
    <x v="1"/>
    <x v="1"/>
    <x v="67"/>
    <x v="10"/>
  </r>
  <r>
    <n v="82"/>
    <x v="80"/>
    <x v="1"/>
    <x v="1"/>
    <x v="0"/>
    <x v="2"/>
    <x v="44"/>
    <x v="10"/>
  </r>
  <r>
    <n v="83"/>
    <x v="81"/>
    <x v="0"/>
    <x v="4"/>
    <x v="0"/>
    <x v="2"/>
    <x v="43"/>
    <x v="10"/>
  </r>
  <r>
    <n v="84"/>
    <x v="82"/>
    <x v="0"/>
    <x v="0"/>
    <x v="0"/>
    <x v="1"/>
    <x v="68"/>
    <x v="10"/>
  </r>
  <r>
    <n v="85"/>
    <x v="83"/>
    <x v="0"/>
    <x v="0"/>
    <x v="2"/>
    <x v="1"/>
    <x v="69"/>
    <x v="11"/>
  </r>
  <r>
    <n v="86"/>
    <x v="84"/>
    <x v="0"/>
    <x v="4"/>
    <x v="3"/>
    <x v="0"/>
    <x v="70"/>
    <x v="11"/>
  </r>
  <r>
    <n v="87"/>
    <x v="85"/>
    <x v="2"/>
    <x v="2"/>
    <x v="1"/>
    <x v="2"/>
    <x v="71"/>
    <x v="11"/>
  </r>
  <r>
    <n v="88"/>
    <x v="86"/>
    <x v="2"/>
    <x v="2"/>
    <x v="0"/>
    <x v="1"/>
    <x v="72"/>
    <x v="11"/>
  </r>
  <r>
    <n v="89"/>
    <x v="87"/>
    <x v="1"/>
    <x v="1"/>
    <x v="0"/>
    <x v="1"/>
    <x v="73"/>
    <x v="11"/>
  </r>
  <r>
    <n v="90"/>
    <x v="88"/>
    <x v="0"/>
    <x v="0"/>
    <x v="0"/>
    <x v="1"/>
    <x v="11"/>
    <x v="11"/>
  </r>
  <r>
    <n v="91"/>
    <x v="89"/>
    <x v="0"/>
    <x v="4"/>
    <x v="0"/>
    <x v="2"/>
    <x v="74"/>
    <x v="11"/>
  </r>
  <r>
    <n v="92"/>
    <x v="89"/>
    <x v="0"/>
    <x v="4"/>
    <x v="0"/>
    <x v="2"/>
    <x v="75"/>
    <x v="11"/>
  </r>
  <r>
    <n v="93"/>
    <x v="90"/>
    <x v="1"/>
    <x v="1"/>
    <x v="5"/>
    <x v="1"/>
    <x v="76"/>
    <x v="11"/>
  </r>
  <r>
    <n v="94"/>
    <x v="91"/>
    <x v="3"/>
    <x v="3"/>
    <x v="1"/>
    <x v="0"/>
    <x v="67"/>
    <x v="11"/>
  </r>
  <r>
    <n v="95"/>
    <x v="92"/>
    <x v="0"/>
    <x v="0"/>
    <x v="1"/>
    <x v="0"/>
    <x v="77"/>
    <x v="11"/>
  </r>
  <r>
    <n v="96"/>
    <x v="93"/>
    <x v="0"/>
    <x v="0"/>
    <x v="3"/>
    <x v="2"/>
    <x v="52"/>
    <x v="11"/>
  </r>
  <r>
    <n v="97"/>
    <x v="94"/>
    <x v="2"/>
    <x v="2"/>
    <x v="1"/>
    <x v="0"/>
    <x v="78"/>
    <x v="11"/>
  </r>
  <r>
    <n v="98"/>
    <x v="95"/>
    <x v="2"/>
    <x v="2"/>
    <x v="5"/>
    <x v="1"/>
    <x v="76"/>
    <x v="11"/>
  </r>
  <r>
    <n v="99"/>
    <x v="96"/>
    <x v="1"/>
    <x v="1"/>
    <x v="2"/>
    <x v="2"/>
    <x v="79"/>
    <x v="11"/>
  </r>
  <r>
    <n v="100"/>
    <x v="97"/>
    <x v="3"/>
    <x v="3"/>
    <x v="2"/>
    <x v="2"/>
    <x v="8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198CF-5786-4DCF-BC05-DA8E7B4A2A98}" name="Venta por Marca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51:B58" firstHeaderRow="1" firstDataRow="1" firstDataCol="1"/>
  <pivotFields count="8"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6">
        <item x="3"/>
        <item x="1"/>
        <item x="0"/>
        <item x="4"/>
        <item x="2"/>
        <item t="default"/>
      </items>
    </pivotField>
    <pivotField axis="axisRow" showAll="0">
      <items count="7">
        <item x="1"/>
        <item x="0"/>
        <item x="2"/>
        <item x="4"/>
        <item x="3"/>
        <item x="5"/>
        <item t="default"/>
      </items>
    </pivotField>
    <pivotField showAll="0"/>
    <pivotField dataField="1"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Valor" fld="6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03A30-A209-45D8-9A4A-7709A9299556}" name="Ventas por Categoria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6:B40" firstHeaderRow="1" firstDataRow="1" firstDataCol="1"/>
  <pivotFields count="8"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6">
        <item x="3"/>
        <item x="1"/>
        <item x="0"/>
        <item x="4"/>
        <item x="2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Valor" fld="6" baseField="0" baseItem="0" numFmtId="164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85BB5-7CB6-4809-88F6-922B287FD8E6}" name="Repnresentante con menor total de vent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77:E83" firstHeaderRow="1" firstDataRow="1" firstDataCol="1"/>
  <pivotFields count="8"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dataField="1"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Valor" fld="6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B8E0E-52AA-4455-A197-F082551EDDDE}" name="Ventas por me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6" firstHeaderRow="1" firstDataRow="1" firstDataCol="1"/>
  <pivotFields count="8">
    <pivotField showAll="0"/>
    <pivotField showAll="0">
      <items count="99">
        <item x="0"/>
        <item x="30"/>
        <item x="52"/>
        <item x="75"/>
        <item x="8"/>
        <item x="37"/>
        <item x="60"/>
        <item x="15"/>
        <item x="23"/>
        <item x="83"/>
        <item x="45"/>
        <item x="68"/>
        <item x="1"/>
        <item x="31"/>
        <item x="53"/>
        <item x="76"/>
        <item x="9"/>
        <item x="16"/>
        <item x="38"/>
        <item x="61"/>
        <item x="24"/>
        <item x="84"/>
        <item x="46"/>
        <item x="69"/>
        <item x="2"/>
        <item x="32"/>
        <item x="54"/>
        <item x="77"/>
        <item x="85"/>
        <item x="10"/>
        <item x="17"/>
        <item x="39"/>
        <item x="62"/>
        <item x="25"/>
        <item x="47"/>
        <item x="70"/>
        <item x="3"/>
        <item x="33"/>
        <item x="55"/>
        <item x="78"/>
        <item x="11"/>
        <item x="18"/>
        <item x="40"/>
        <item x="63"/>
        <item x="26"/>
        <item x="86"/>
        <item x="48"/>
        <item x="71"/>
        <item x="87"/>
        <item x="4"/>
        <item x="34"/>
        <item x="56"/>
        <item x="79"/>
        <item x="12"/>
        <item x="19"/>
        <item x="41"/>
        <item x="64"/>
        <item x="27"/>
        <item x="88"/>
        <item x="49"/>
        <item x="72"/>
        <item x="89"/>
        <item x="5"/>
        <item x="35"/>
        <item x="57"/>
        <item x="80"/>
        <item x="90"/>
        <item x="13"/>
        <item x="20"/>
        <item x="42"/>
        <item x="65"/>
        <item x="91"/>
        <item x="28"/>
        <item x="50"/>
        <item x="73"/>
        <item x="92"/>
        <item x="6"/>
        <item x="58"/>
        <item x="81"/>
        <item x="14"/>
        <item x="21"/>
        <item x="43"/>
        <item x="66"/>
        <item x="29"/>
        <item x="93"/>
        <item x="51"/>
        <item x="74"/>
        <item x="94"/>
        <item x="7"/>
        <item x="36"/>
        <item x="59"/>
        <item x="82"/>
        <item x="95"/>
        <item x="22"/>
        <item x="44"/>
        <item x="67"/>
        <item x="96"/>
        <item x="97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dataField="1" numFmtId="164" showAll="0">
      <items count="82">
        <item h="1" x="8"/>
        <item h="1" x="19"/>
        <item h="1" x="70"/>
        <item h="1" x="20"/>
        <item h="1" x="47"/>
        <item h="1" x="59"/>
        <item h="1" x="65"/>
        <item h="1" x="43"/>
        <item h="1" x="44"/>
        <item h="1" x="10"/>
        <item h="1" x="23"/>
        <item h="1" x="38"/>
        <item x="30"/>
        <item h="1" x="3"/>
        <item h="1" x="69"/>
        <item h="1" x="25"/>
        <item h="1" x="48"/>
        <item h="1" x="28"/>
        <item h="1" x="74"/>
        <item h="1" x="2"/>
        <item h="1" x="46"/>
        <item h="1" x="0"/>
        <item h="1" x="4"/>
        <item h="1" x="61"/>
        <item h="1" x="58"/>
        <item h="1" x="60"/>
        <item h="1" x="27"/>
        <item h="1" x="80"/>
        <item h="1" x="55"/>
        <item h="1" x="66"/>
        <item h="1" x="40"/>
        <item h="1" x="21"/>
        <item h="1" x="63"/>
        <item h="1" x="13"/>
        <item h="1" x="7"/>
        <item h="1" x="34"/>
        <item h="1" x="79"/>
        <item h="1" x="37"/>
        <item h="1" x="26"/>
        <item h="1" x="57"/>
        <item h="1" x="56"/>
        <item h="1" x="24"/>
        <item h="1" x="53"/>
        <item h="1" x="76"/>
        <item h="1" x="17"/>
        <item h="1" x="15"/>
        <item h="1" x="22"/>
        <item h="1" x="42"/>
        <item h="1" x="6"/>
        <item h="1" x="75"/>
        <item h="1" x="51"/>
        <item h="1" x="32"/>
        <item h="1" x="52"/>
        <item h="1" x="31"/>
        <item h="1" x="41"/>
        <item h="1" x="50"/>
        <item h="1" x="64"/>
        <item h="1" x="14"/>
        <item h="1" x="73"/>
        <item h="1" x="29"/>
        <item h="1" x="33"/>
        <item h="1" x="78"/>
        <item h="1" x="16"/>
        <item h="1" x="11"/>
        <item h="1" x="45"/>
        <item h="1" x="1"/>
        <item h="1" x="9"/>
        <item h="1" x="68"/>
        <item h="1" x="67"/>
        <item h="1" x="77"/>
        <item h="1" x="12"/>
        <item h="1" x="71"/>
        <item h="1" x="62"/>
        <item h="1" x="5"/>
        <item h="1" x="49"/>
        <item h="1" x="39"/>
        <item h="1" x="72"/>
        <item h="1" x="18"/>
        <item h="1" x="35"/>
        <item h="1" x="36"/>
        <item h="1" x="54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Valor" fld="6" baseField="0" baseItem="0" numFmtId="164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6CA2F-5048-499F-A3AB-030BE1553743}" name="Promedio de ventas por ciudad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77:K79" firstHeaderRow="1" firstDataRow="1" firstDataCol="1"/>
  <pivotFields count="8">
    <pivotField showAll="0"/>
    <pivotField showAll="0"/>
    <pivotField axis="axisRow" showAll="0" measureFilter="1">
      <items count="5">
        <item x="3"/>
        <item x="1"/>
        <item x="0"/>
        <item x="2"/>
        <item t="default"/>
      </items>
    </pivotField>
    <pivotField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dataField="1"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2">
    <i>
      <x v="3"/>
    </i>
    <i t="grand">
      <x/>
    </i>
  </rowItems>
  <colItems count="1">
    <i/>
  </colItems>
  <dataFields count="1">
    <dataField name="Promedio de Valor" fld="6" subtotal="average" baseField="2" baseItem="0" numFmtId="164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027292-568F-4149-B1D4-6B18363DAFBE}" name="Ventas por Ciudad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66:B71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dataField="1" numFmtId="164" showAll="0">
      <items count="82">
        <item x="8"/>
        <item x="19"/>
        <item x="70"/>
        <item x="20"/>
        <item x="47"/>
        <item x="59"/>
        <item x="65"/>
        <item x="43"/>
        <item x="44"/>
        <item x="10"/>
        <item x="23"/>
        <item x="38"/>
        <item x="30"/>
        <item x="3"/>
        <item x="69"/>
        <item x="25"/>
        <item x="48"/>
        <item x="28"/>
        <item x="74"/>
        <item x="2"/>
        <item x="46"/>
        <item x="0"/>
        <item x="4"/>
        <item x="61"/>
        <item x="58"/>
        <item x="60"/>
        <item x="27"/>
        <item x="80"/>
        <item x="55"/>
        <item x="66"/>
        <item x="40"/>
        <item x="21"/>
        <item x="63"/>
        <item x="13"/>
        <item x="7"/>
        <item x="34"/>
        <item x="79"/>
        <item x="37"/>
        <item x="26"/>
        <item x="57"/>
        <item x="56"/>
        <item x="24"/>
        <item x="53"/>
        <item x="76"/>
        <item x="17"/>
        <item x="15"/>
        <item x="22"/>
        <item x="42"/>
        <item x="6"/>
        <item x="75"/>
        <item x="51"/>
        <item x="32"/>
        <item x="52"/>
        <item x="31"/>
        <item x="41"/>
        <item x="50"/>
        <item x="64"/>
        <item x="14"/>
        <item x="73"/>
        <item x="29"/>
        <item x="33"/>
        <item x="78"/>
        <item x="16"/>
        <item x="11"/>
        <item x="45"/>
        <item x="1"/>
        <item x="9"/>
        <item x="68"/>
        <item x="67"/>
        <item x="77"/>
        <item x="12"/>
        <item x="71"/>
        <item x="62"/>
        <item x="5"/>
        <item x="49"/>
        <item x="39"/>
        <item x="72"/>
        <item x="18"/>
        <item x="35"/>
        <item x="36"/>
        <item x="54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Valor" fld="6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35257-77C8-474D-9B7A-3E43183675AF}" name="Promedio de ventas por Representant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77:H83" firstHeaderRow="1" firstDataRow="1" firstDataCol="1"/>
  <pivotFields count="8"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dataField="1"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medio de Valor" fld="6" subtotal="average" baseField="3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109AC-2B30-48A3-B023-A72CE29B0DC8}" name="Ventas por Representante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0:B26" firstHeaderRow="1" firstDataRow="1" firstDataCol="1"/>
  <pivotFields count="8"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dataField="1"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alor" fld="6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5A475-8328-4FCA-AEB6-3A637E4D6B45}" name="Representante con mayor total de vent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7:B83" firstHeaderRow="1" firstDataRow="1" firstDataCol="1"/>
  <pivotFields count="8"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dataField="1" numFmtId="164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Valor" fld="6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udad" xr10:uid="{C8B2F07A-0AB2-4D43-B608-45B6C5A3D1BE}" sourceName="Ciudad">
  <pivotTables>
    <pivotTable tabId="4" name="Ventas por mes"/>
    <pivotTable tabId="4" name="Venta por Marca"/>
    <pivotTable tabId="4" name="Ventas por Categoria"/>
    <pivotTable tabId="4" name="Ventas por Representante"/>
    <pivotTable tabId="4" name="Ventas por Ciudad"/>
    <pivotTable tabId="4" name="Promedio de ventas por ciudad"/>
    <pivotTable tabId="4" name="Promedio de ventas por Representante"/>
    <pivotTable tabId="4" name="Repnresentante con menor total de ventas"/>
    <pivotTable tabId="4" name="Representante con mayor total de ventas"/>
  </pivotTables>
  <data>
    <tabular pivotCacheId="1070533438">
      <items count="4">
        <i x="3" s="1"/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Nombre_representante" xr10:uid="{45579F31-3C13-4EB5-847B-687936722A86}" sourceName="Nombre_representante">
  <pivotTables>
    <pivotTable tabId="4" name="Venta por Marca"/>
    <pivotTable tabId="4" name="Ventas por Categoria"/>
    <pivotTable tabId="4" name="Ventas por Ciudad"/>
    <pivotTable tabId="4" name="Ventas por mes"/>
    <pivotTable tabId="4" name="Ventas por Representante"/>
    <pivotTable tabId="4" name="Promedio de ventas por ciudad"/>
    <pivotTable tabId="4" name="Promedio de ventas por Representante"/>
    <pivotTable tabId="4" name="Repnresentante con menor total de ventas"/>
    <pivotTable tabId="4" name="Representante con mayor total de ventas"/>
  </pivotTables>
  <data>
    <tabular pivotCacheId="1070533438">
      <items count="5">
        <i x="3" s="1"/>
        <i x="1" s="1"/>
        <i x="0" s="1"/>
        <i x="4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es" xr10:uid="{9E77A9B1-3A15-4334-B166-BB7337487E1E}" sourceName="Mes">
  <pivotTables>
    <pivotTable tabId="4" name="Venta por Marca"/>
    <pivotTable tabId="4" name="Ventas por Categoria"/>
    <pivotTable tabId="4" name="Ventas por Ciudad"/>
    <pivotTable tabId="4" name="Ventas por Representante"/>
    <pivotTable tabId="4" name="Ventas por mes"/>
    <pivotTable tabId="4" name="Promedio de ventas por ciudad"/>
    <pivotTable tabId="4" name="Promedio de ventas por Representante"/>
    <pivotTable tabId="4" name="Repnresentante con menor total de ventas"/>
    <pivotTable tabId="4" name="Representante con mayor total de ventas"/>
  </pivotTables>
  <data>
    <tabular pivotCacheId="1070533438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DA44DD64-CC44-45B3-A185-F1DBE705F7C4}" cache="Slicer_Ciudad" caption="Ciudad" style="SlicerStyleDark1" rowHeight="247650"/>
  <slicer name="Nombre_representante" xr10:uid="{F91E9175-3436-437C-B924-F8ED45F28FAA}" cache="Slicer_Nombre_representante" caption="Nombre_representante" style="SlicerStyleDark1" rowHeight="247650"/>
  <slicer name="Mes" xr10:uid="{4E43A562-C8E0-4463-B340-DC4DA6459501}" cache="Slicer_Mes" caption="Mes" startItem="4" style="SlicerStyleDark1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 1" xr10:uid="{37902188-063C-4BB1-A5D9-AA09A2945DC8}" cache="Slicer_Ciudad" caption="Ciudad" style="SlicerStyleDark1" rowHeight="247650"/>
  <slicer name="Nombre_representante 1" xr10:uid="{9044D4C0-FDCF-49AC-A244-86E88602FA18}" cache="Slicer_Nombre_representante" caption="Nombre_representante" style="SlicerStyleDark1" rowHeight="247650"/>
  <slicer name="Mes 1" xr10:uid="{80E1BCC7-0F77-41A5-AD74-2FCC544216BB}" cache="Slicer_Mes" caption="Mes" style="SlicerStyleDark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BFF814-7B1F-456E-B981-877F1F29F09E}" name="Ventas" displayName="Ventas" ref="A1:H101" totalsRowShown="0" headerRowDxfId="4">
  <autoFilter ref="A1:H101" xr:uid="{C1BFF814-7B1F-456E-B981-877F1F29F09E}"/>
  <tableColumns count="8">
    <tableColumn id="1" xr3:uid="{E1936AED-972B-4DD9-B9E6-E9C811A28A7E}" name="Num_venta" dataDxfId="3"/>
    <tableColumn id="2" xr3:uid="{5591A0A2-FDEA-44FD-B673-370ED43EDD63}" name="Fecha" dataDxfId="2"/>
    <tableColumn id="3" xr3:uid="{F0EFFB6A-37D5-4B28-9CF5-ED4A8E4E5857}" name="Ciudad"/>
    <tableColumn id="4" xr3:uid="{E495218B-E6F1-44CD-8137-A1181AC1873E}" name="Nombre_representante"/>
    <tableColumn id="5" xr3:uid="{82D660A6-9DDA-4C08-A250-7F969EA150FC}" name="Marca_vehículo"/>
    <tableColumn id="6" xr3:uid="{9313D913-A330-4CDC-9213-18DDF20B30C4}" name="Categoría_vehículo"/>
    <tableColumn id="7" xr3:uid="{01D05CC7-A855-4295-B389-B91EF640D666}" name="Valor $$" dataDxfId="1"/>
    <tableColumn id="8" xr3:uid="{6BB2AC26-C5ED-426B-8A5C-EB12CBE88FD9}" name="Mes" dataDxfId="0">
      <calculatedColumnFormula>TEXT(Ventas[[#This Row],[Fecha]],"mmmm")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328D-3826-448D-93E4-5C63E8F3A00A}">
  <sheetPr>
    <tabColor theme="5" tint="0.39997558519241921"/>
  </sheetPr>
  <dimension ref="A1:H106"/>
  <sheetViews>
    <sheetView tabSelected="1" topLeftCell="A82" workbookViewId="0">
      <selection activeCell="K9" sqref="K9"/>
    </sheetView>
  </sheetViews>
  <sheetFormatPr defaultColWidth="8.6640625" defaultRowHeight="14.4" x14ac:dyDescent="0.3"/>
  <cols>
    <col min="1" max="1" width="12.109375" customWidth="1"/>
    <col min="2" max="2" width="21" customWidth="1"/>
    <col min="3" max="3" width="15.5546875" customWidth="1"/>
    <col min="4" max="4" width="22" customWidth="1"/>
    <col min="5" max="5" width="17.109375" customWidth="1"/>
    <col min="6" max="6" width="19.5546875" customWidth="1"/>
    <col min="7" max="7" width="17.33203125" customWidth="1"/>
    <col min="8" max="8" width="14.4414062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133</v>
      </c>
      <c r="H1" s="2" t="s">
        <v>6</v>
      </c>
    </row>
    <row r="2" spans="1:8" x14ac:dyDescent="0.3">
      <c r="A2" s="3">
        <v>1</v>
      </c>
      <c r="B2" s="6" t="s">
        <v>7</v>
      </c>
      <c r="C2" t="s">
        <v>8</v>
      </c>
      <c r="D2" t="s">
        <v>9</v>
      </c>
      <c r="E2" t="s">
        <v>10</v>
      </c>
      <c r="F2" t="s">
        <v>11</v>
      </c>
      <c r="G2" s="5">
        <v>24100</v>
      </c>
      <c r="H2" t="str">
        <f>TEXT(Ventas[[#This Row],[Fecha]],"mmmm")</f>
        <v>enero</v>
      </c>
    </row>
    <row r="3" spans="1:8" x14ac:dyDescent="0.3">
      <c r="A3" s="3">
        <v>2</v>
      </c>
      <c r="B3" s="6" t="s">
        <v>12</v>
      </c>
      <c r="C3" t="s">
        <v>13</v>
      </c>
      <c r="D3" t="s">
        <v>14</v>
      </c>
      <c r="E3" t="s">
        <v>15</v>
      </c>
      <c r="F3" t="s">
        <v>16</v>
      </c>
      <c r="G3" s="5">
        <v>35700</v>
      </c>
      <c r="H3" t="str">
        <f>TEXT(Ventas[[#This Row],[Fecha]],"mmmm")</f>
        <v>enero</v>
      </c>
    </row>
    <row r="4" spans="1:8" x14ac:dyDescent="0.3">
      <c r="A4" s="3">
        <v>3</v>
      </c>
      <c r="B4" s="6" t="s">
        <v>17</v>
      </c>
      <c r="C4" t="s">
        <v>18</v>
      </c>
      <c r="D4" t="s">
        <v>19</v>
      </c>
      <c r="E4" t="s">
        <v>20</v>
      </c>
      <c r="F4" t="s">
        <v>11</v>
      </c>
      <c r="G4" s="5">
        <v>23800</v>
      </c>
      <c r="H4" t="str">
        <f>TEXT(Ventas[[#This Row],[Fecha]],"mmmm")</f>
        <v>enero</v>
      </c>
    </row>
    <row r="5" spans="1:8" x14ac:dyDescent="0.3">
      <c r="A5" s="3">
        <v>4</v>
      </c>
      <c r="B5" s="6" t="s">
        <v>21</v>
      </c>
      <c r="C5" t="s">
        <v>22</v>
      </c>
      <c r="D5" t="s">
        <v>23</v>
      </c>
      <c r="E5" t="s">
        <v>10</v>
      </c>
      <c r="F5" t="s">
        <v>11</v>
      </c>
      <c r="G5" s="5">
        <v>22200</v>
      </c>
      <c r="H5" t="str">
        <f>TEXT(Ventas[[#This Row],[Fecha]],"mmmm")</f>
        <v>enero</v>
      </c>
    </row>
    <row r="6" spans="1:8" x14ac:dyDescent="0.3">
      <c r="A6" s="3">
        <v>5</v>
      </c>
      <c r="B6" s="6" t="s">
        <v>24</v>
      </c>
      <c r="C6" t="s">
        <v>13</v>
      </c>
      <c r="D6" t="s">
        <v>14</v>
      </c>
      <c r="E6" t="s">
        <v>10</v>
      </c>
      <c r="F6" t="s">
        <v>25</v>
      </c>
      <c r="G6" s="5">
        <v>24300</v>
      </c>
      <c r="H6" t="str">
        <f>TEXT(Ventas[[#This Row],[Fecha]],"mmmm")</f>
        <v>enero</v>
      </c>
    </row>
    <row r="7" spans="1:8" x14ac:dyDescent="0.3">
      <c r="A7" s="3">
        <v>6</v>
      </c>
      <c r="B7" s="6" t="s">
        <v>26</v>
      </c>
      <c r="C7" t="s">
        <v>18</v>
      </c>
      <c r="D7" t="s">
        <v>19</v>
      </c>
      <c r="E7" t="s">
        <v>10</v>
      </c>
      <c r="F7" t="s">
        <v>16</v>
      </c>
      <c r="G7" s="5">
        <v>38200</v>
      </c>
      <c r="H7" t="str">
        <f>TEXT(Ventas[[#This Row],[Fecha]],"mmmm")</f>
        <v>enero</v>
      </c>
    </row>
    <row r="8" spans="1:8" x14ac:dyDescent="0.3">
      <c r="A8" s="3">
        <v>7</v>
      </c>
      <c r="B8" s="6" t="s">
        <v>27</v>
      </c>
      <c r="C8" t="s">
        <v>8</v>
      </c>
      <c r="D8" t="s">
        <v>9</v>
      </c>
      <c r="E8" t="s">
        <v>15</v>
      </c>
      <c r="F8" t="s">
        <v>25</v>
      </c>
      <c r="G8" s="5">
        <v>30700</v>
      </c>
      <c r="H8" t="str">
        <f>TEXT(Ventas[[#This Row],[Fecha]],"mmmm")</f>
        <v>enero</v>
      </c>
    </row>
    <row r="9" spans="1:8" x14ac:dyDescent="0.3">
      <c r="A9" s="3">
        <v>8</v>
      </c>
      <c r="B9" s="6" t="s">
        <v>28</v>
      </c>
      <c r="C9" t="s">
        <v>8</v>
      </c>
      <c r="D9" t="s">
        <v>9</v>
      </c>
      <c r="E9" t="s">
        <v>10</v>
      </c>
      <c r="F9" t="s">
        <v>11</v>
      </c>
      <c r="G9" s="5">
        <v>27300</v>
      </c>
      <c r="H9" t="str">
        <f>TEXT(Ventas[[#This Row],[Fecha]],"mmmm")</f>
        <v>enero</v>
      </c>
    </row>
    <row r="10" spans="1:8" x14ac:dyDescent="0.3">
      <c r="A10" s="3">
        <v>9</v>
      </c>
      <c r="B10" s="6" t="s">
        <v>29</v>
      </c>
      <c r="C10" t="s">
        <v>8</v>
      </c>
      <c r="D10" t="s">
        <v>30</v>
      </c>
      <c r="E10" t="s">
        <v>20</v>
      </c>
      <c r="F10" t="s">
        <v>11</v>
      </c>
      <c r="G10" s="5">
        <v>16000</v>
      </c>
      <c r="H10" t="str">
        <f>TEXT(Ventas[[#This Row],[Fecha]],"mmmm")</f>
        <v>febrero</v>
      </c>
    </row>
    <row r="11" spans="1:8" x14ac:dyDescent="0.3">
      <c r="A11" s="3">
        <v>10</v>
      </c>
      <c r="B11" s="6" t="s">
        <v>31</v>
      </c>
      <c r="C11" t="s">
        <v>18</v>
      </c>
      <c r="D11" t="s">
        <v>19</v>
      </c>
      <c r="E11" t="s">
        <v>15</v>
      </c>
      <c r="F11" t="s">
        <v>16</v>
      </c>
      <c r="G11" s="5">
        <v>36200</v>
      </c>
      <c r="H11" t="str">
        <f>TEXT(Ventas[[#This Row],[Fecha]],"mmmm")</f>
        <v>febrero</v>
      </c>
    </row>
    <row r="12" spans="1:8" x14ac:dyDescent="0.3">
      <c r="A12" s="3">
        <v>11</v>
      </c>
      <c r="B12" s="6" t="s">
        <v>32</v>
      </c>
      <c r="C12" t="s">
        <v>18</v>
      </c>
      <c r="D12" t="s">
        <v>19</v>
      </c>
      <c r="E12" t="s">
        <v>33</v>
      </c>
      <c r="F12" t="s">
        <v>11</v>
      </c>
      <c r="G12" s="5">
        <v>21300</v>
      </c>
      <c r="H12" t="str">
        <f>TEXT(Ventas[[#This Row],[Fecha]],"mmmm")</f>
        <v>febrero</v>
      </c>
    </row>
    <row r="13" spans="1:8" x14ac:dyDescent="0.3">
      <c r="A13" s="3">
        <v>12</v>
      </c>
      <c r="B13" s="6" t="s">
        <v>34</v>
      </c>
      <c r="C13" t="s">
        <v>8</v>
      </c>
      <c r="D13" t="s">
        <v>9</v>
      </c>
      <c r="E13" t="s">
        <v>10</v>
      </c>
      <c r="F13" t="s">
        <v>25</v>
      </c>
      <c r="G13" s="5">
        <v>35000</v>
      </c>
      <c r="H13" t="str">
        <f>TEXT(Ventas[[#This Row],[Fecha]],"mmmm")</f>
        <v>febrero</v>
      </c>
    </row>
    <row r="14" spans="1:8" x14ac:dyDescent="0.3">
      <c r="A14" s="3">
        <v>13</v>
      </c>
      <c r="B14" s="6" t="s">
        <v>35</v>
      </c>
      <c r="C14" t="s">
        <v>8</v>
      </c>
      <c r="D14" t="s">
        <v>30</v>
      </c>
      <c r="E14" t="s">
        <v>33</v>
      </c>
      <c r="F14" t="s">
        <v>16</v>
      </c>
      <c r="G14" s="5">
        <v>37400</v>
      </c>
      <c r="H14" t="str">
        <f>TEXT(Ventas[[#This Row],[Fecha]],"mmmm")</f>
        <v>febrero</v>
      </c>
    </row>
    <row r="15" spans="1:8" x14ac:dyDescent="0.3">
      <c r="A15" s="3">
        <v>14</v>
      </c>
      <c r="B15" s="6" t="s">
        <v>36</v>
      </c>
      <c r="C15" t="s">
        <v>8</v>
      </c>
      <c r="D15" t="s">
        <v>30</v>
      </c>
      <c r="E15" t="s">
        <v>37</v>
      </c>
      <c r="F15" t="s">
        <v>25</v>
      </c>
      <c r="G15" s="5">
        <v>27200</v>
      </c>
      <c r="H15" t="str">
        <f>TEXT(Ventas[[#This Row],[Fecha]],"mmmm")</f>
        <v>febrero</v>
      </c>
    </row>
    <row r="16" spans="1:8" x14ac:dyDescent="0.3">
      <c r="A16" s="3">
        <v>15</v>
      </c>
      <c r="B16" s="6" t="s">
        <v>38</v>
      </c>
      <c r="C16" t="s">
        <v>13</v>
      </c>
      <c r="D16" t="s">
        <v>14</v>
      </c>
      <c r="E16" t="s">
        <v>15</v>
      </c>
      <c r="F16" t="s">
        <v>11</v>
      </c>
      <c r="G16" s="5">
        <v>33300</v>
      </c>
      <c r="H16" t="str">
        <f>TEXT(Ventas[[#This Row],[Fecha]],"mmmm")</f>
        <v>febrero</v>
      </c>
    </row>
    <row r="17" spans="1:8" x14ac:dyDescent="0.3">
      <c r="A17" s="3">
        <v>16</v>
      </c>
      <c r="B17" s="6" t="s">
        <v>39</v>
      </c>
      <c r="C17" t="s">
        <v>13</v>
      </c>
      <c r="D17" t="s">
        <v>14</v>
      </c>
      <c r="E17" t="s">
        <v>20</v>
      </c>
      <c r="F17" t="s">
        <v>25</v>
      </c>
      <c r="G17" s="5">
        <v>30200</v>
      </c>
      <c r="H17" t="str">
        <f>TEXT(Ventas[[#This Row],[Fecha]],"mmmm")</f>
        <v>marzo</v>
      </c>
    </row>
    <row r="18" spans="1:8" x14ac:dyDescent="0.3">
      <c r="A18" s="3">
        <v>17</v>
      </c>
      <c r="B18" s="6" t="s">
        <v>40</v>
      </c>
      <c r="C18" t="s">
        <v>13</v>
      </c>
      <c r="D18" t="s">
        <v>14</v>
      </c>
      <c r="E18" t="s">
        <v>10</v>
      </c>
      <c r="F18" t="s">
        <v>16</v>
      </c>
      <c r="G18" s="5">
        <v>34800</v>
      </c>
      <c r="H18" t="str">
        <f>TEXT(Ventas[[#This Row],[Fecha]],"mmmm")</f>
        <v>marzo</v>
      </c>
    </row>
    <row r="19" spans="1:8" x14ac:dyDescent="0.3">
      <c r="A19" s="3">
        <v>18</v>
      </c>
      <c r="B19" s="6" t="s">
        <v>41</v>
      </c>
      <c r="C19" t="s">
        <v>8</v>
      </c>
      <c r="D19" t="s">
        <v>30</v>
      </c>
      <c r="E19" t="s">
        <v>42</v>
      </c>
      <c r="F19" t="s">
        <v>25</v>
      </c>
      <c r="G19" s="5">
        <v>29900</v>
      </c>
      <c r="H19" t="str">
        <f>TEXT(Ventas[[#This Row],[Fecha]],"mmmm")</f>
        <v>marzo</v>
      </c>
    </row>
    <row r="20" spans="1:8" x14ac:dyDescent="0.3">
      <c r="A20" s="3">
        <v>19</v>
      </c>
      <c r="B20" s="6" t="s">
        <v>43</v>
      </c>
      <c r="C20" t="s">
        <v>8</v>
      </c>
      <c r="D20" t="s">
        <v>30</v>
      </c>
      <c r="E20" t="s">
        <v>15</v>
      </c>
      <c r="F20" t="s">
        <v>16</v>
      </c>
      <c r="G20" s="5">
        <v>39800</v>
      </c>
      <c r="H20" t="str">
        <f>TEXT(Ventas[[#This Row],[Fecha]],"mmmm")</f>
        <v>marzo</v>
      </c>
    </row>
    <row r="21" spans="1:8" x14ac:dyDescent="0.3">
      <c r="A21" s="3">
        <v>20</v>
      </c>
      <c r="B21" s="6" t="s">
        <v>44</v>
      </c>
      <c r="C21" t="s">
        <v>22</v>
      </c>
      <c r="D21" t="s">
        <v>23</v>
      </c>
      <c r="E21" t="s">
        <v>20</v>
      </c>
      <c r="F21" t="s">
        <v>11</v>
      </c>
      <c r="G21" s="5">
        <v>16600</v>
      </c>
      <c r="H21" t="str">
        <f>TEXT(Ventas[[#This Row],[Fecha]],"mmmm")</f>
        <v>marzo</v>
      </c>
    </row>
    <row r="22" spans="1:8" x14ac:dyDescent="0.3">
      <c r="A22" s="3">
        <v>21</v>
      </c>
      <c r="B22" s="6" t="s">
        <v>45</v>
      </c>
      <c r="C22" t="s">
        <v>22</v>
      </c>
      <c r="D22" t="s">
        <v>23</v>
      </c>
      <c r="E22" t="s">
        <v>33</v>
      </c>
      <c r="F22" t="s">
        <v>11</v>
      </c>
      <c r="G22" s="5">
        <v>17500</v>
      </c>
      <c r="H22" t="str">
        <f>TEXT(Ventas[[#This Row],[Fecha]],"mmmm")</f>
        <v>marzo</v>
      </c>
    </row>
    <row r="23" spans="1:8" x14ac:dyDescent="0.3">
      <c r="A23" s="3">
        <v>22</v>
      </c>
      <c r="B23" s="6" t="s">
        <v>46</v>
      </c>
      <c r="C23" t="s">
        <v>8</v>
      </c>
      <c r="D23" t="s">
        <v>9</v>
      </c>
      <c r="E23" t="s">
        <v>10</v>
      </c>
      <c r="F23" t="s">
        <v>11</v>
      </c>
      <c r="G23" s="5">
        <v>26500</v>
      </c>
      <c r="H23" t="str">
        <f>TEXT(Ventas[[#This Row],[Fecha]],"mmmm")</f>
        <v>marzo</v>
      </c>
    </row>
    <row r="24" spans="1:8" x14ac:dyDescent="0.3">
      <c r="A24" s="3">
        <v>23</v>
      </c>
      <c r="B24" s="6" t="s">
        <v>47</v>
      </c>
      <c r="C24" t="s">
        <v>8</v>
      </c>
      <c r="D24" t="s">
        <v>9</v>
      </c>
      <c r="E24" t="s">
        <v>10</v>
      </c>
      <c r="F24" t="s">
        <v>16</v>
      </c>
      <c r="G24" s="5">
        <v>30400</v>
      </c>
      <c r="H24" t="str">
        <f>TEXT(Ventas[[#This Row],[Fecha]],"mmmm")</f>
        <v>marzo</v>
      </c>
    </row>
    <row r="25" spans="1:8" x14ac:dyDescent="0.3">
      <c r="A25" s="3">
        <v>24</v>
      </c>
      <c r="B25" s="6" t="s">
        <v>48</v>
      </c>
      <c r="C25" t="s">
        <v>8</v>
      </c>
      <c r="D25" t="s">
        <v>9</v>
      </c>
      <c r="E25" t="s">
        <v>10</v>
      </c>
      <c r="F25" t="s">
        <v>25</v>
      </c>
      <c r="G25" s="5">
        <v>21800</v>
      </c>
      <c r="H25" t="str">
        <f>TEXT(Ventas[[#This Row],[Fecha]],"mmmm")</f>
        <v>abril</v>
      </c>
    </row>
    <row r="26" spans="1:8" x14ac:dyDescent="0.3">
      <c r="A26" s="3">
        <v>25</v>
      </c>
      <c r="B26" s="6" t="s">
        <v>49</v>
      </c>
      <c r="C26" t="s">
        <v>8</v>
      </c>
      <c r="D26" t="s">
        <v>9</v>
      </c>
      <c r="E26" t="s">
        <v>10</v>
      </c>
      <c r="F26" t="s">
        <v>16</v>
      </c>
      <c r="G26" s="5">
        <v>29600</v>
      </c>
      <c r="H26" t="str">
        <f>TEXT(Ventas[[#This Row],[Fecha]],"mmmm")</f>
        <v>abril</v>
      </c>
    </row>
    <row r="27" spans="1:8" x14ac:dyDescent="0.3">
      <c r="A27" s="3">
        <v>26</v>
      </c>
      <c r="B27" s="6" t="s">
        <v>50</v>
      </c>
      <c r="C27" t="s">
        <v>13</v>
      </c>
      <c r="D27" t="s">
        <v>14</v>
      </c>
      <c r="E27" t="s">
        <v>20</v>
      </c>
      <c r="F27" t="s">
        <v>11</v>
      </c>
      <c r="G27" s="5">
        <v>23200</v>
      </c>
      <c r="H27" t="str">
        <f>TEXT(Ventas[[#This Row],[Fecha]],"mmmm")</f>
        <v>abril</v>
      </c>
    </row>
    <row r="28" spans="1:8" x14ac:dyDescent="0.3">
      <c r="A28" s="3">
        <v>27</v>
      </c>
      <c r="B28" s="6" t="s">
        <v>51</v>
      </c>
      <c r="C28" t="s">
        <v>22</v>
      </c>
      <c r="D28" t="s">
        <v>23</v>
      </c>
      <c r="E28" t="s">
        <v>15</v>
      </c>
      <c r="F28" t="s">
        <v>11</v>
      </c>
      <c r="G28" s="5">
        <v>28000</v>
      </c>
      <c r="H28" t="str">
        <f>TEXT(Ventas[[#This Row],[Fecha]],"mmmm")</f>
        <v>abril</v>
      </c>
    </row>
    <row r="29" spans="1:8" x14ac:dyDescent="0.3">
      <c r="A29" s="3">
        <v>28</v>
      </c>
      <c r="B29" s="6" t="s">
        <v>52</v>
      </c>
      <c r="C29" t="s">
        <v>18</v>
      </c>
      <c r="D29" t="s">
        <v>19</v>
      </c>
      <c r="E29" t="s">
        <v>37</v>
      </c>
      <c r="F29" t="s">
        <v>11</v>
      </c>
      <c r="G29" s="5">
        <v>25400</v>
      </c>
      <c r="H29" t="str">
        <f>TEXT(Ventas[[#This Row],[Fecha]],"mmmm")</f>
        <v>abril</v>
      </c>
    </row>
    <row r="30" spans="1:8" x14ac:dyDescent="0.3">
      <c r="A30" s="3">
        <v>29</v>
      </c>
      <c r="B30" s="6" t="s">
        <v>53</v>
      </c>
      <c r="C30" t="s">
        <v>22</v>
      </c>
      <c r="D30" t="s">
        <v>23</v>
      </c>
      <c r="E30" t="s">
        <v>33</v>
      </c>
      <c r="F30" t="s">
        <v>11</v>
      </c>
      <c r="G30" s="5">
        <v>23500</v>
      </c>
      <c r="H30" t="str">
        <f>TEXT(Ventas[[#This Row],[Fecha]],"mmmm")</f>
        <v>abril</v>
      </c>
    </row>
    <row r="31" spans="1:8" x14ac:dyDescent="0.3">
      <c r="A31" s="3">
        <v>30</v>
      </c>
      <c r="B31" s="6" t="s">
        <v>54</v>
      </c>
      <c r="C31" t="s">
        <v>13</v>
      </c>
      <c r="D31" t="s">
        <v>14</v>
      </c>
      <c r="E31" t="s">
        <v>33</v>
      </c>
      <c r="F31" t="s">
        <v>16</v>
      </c>
      <c r="G31" s="5">
        <v>34000</v>
      </c>
      <c r="H31" t="str">
        <f>TEXT(Ventas[[#This Row],[Fecha]],"mmmm")</f>
        <v>abril</v>
      </c>
    </row>
    <row r="32" spans="1:8" x14ac:dyDescent="0.3">
      <c r="A32" s="3">
        <v>31</v>
      </c>
      <c r="B32" s="6" t="s">
        <v>55</v>
      </c>
      <c r="C32" t="s">
        <v>13</v>
      </c>
      <c r="D32" t="s">
        <v>14</v>
      </c>
      <c r="E32" t="s">
        <v>20</v>
      </c>
      <c r="F32" t="s">
        <v>25</v>
      </c>
      <c r="G32" s="5">
        <v>22100</v>
      </c>
      <c r="H32" t="str">
        <f>TEXT(Ventas[[#This Row],[Fecha]],"mmmm")</f>
        <v>mayo</v>
      </c>
    </row>
    <row r="33" spans="1:8" x14ac:dyDescent="0.3">
      <c r="A33" s="3">
        <v>32</v>
      </c>
      <c r="B33" s="6" t="s">
        <v>56</v>
      </c>
      <c r="C33" t="s">
        <v>8</v>
      </c>
      <c r="D33" t="s">
        <v>9</v>
      </c>
      <c r="E33" t="s">
        <v>15</v>
      </c>
      <c r="F33" t="s">
        <v>25</v>
      </c>
      <c r="G33" s="5">
        <v>32100</v>
      </c>
      <c r="H33" t="str">
        <f>TEXT(Ventas[[#This Row],[Fecha]],"mmmm")</f>
        <v>mayo</v>
      </c>
    </row>
    <row r="34" spans="1:8" x14ac:dyDescent="0.3">
      <c r="A34" s="3">
        <v>33</v>
      </c>
      <c r="B34" s="6" t="s">
        <v>57</v>
      </c>
      <c r="C34" t="s">
        <v>8</v>
      </c>
      <c r="D34" t="s">
        <v>30</v>
      </c>
      <c r="E34" t="s">
        <v>37</v>
      </c>
      <c r="F34" t="s">
        <v>16</v>
      </c>
      <c r="G34" s="5">
        <v>31900</v>
      </c>
      <c r="H34" t="str">
        <f>TEXT(Ventas[[#This Row],[Fecha]],"mmmm")</f>
        <v>mayo</v>
      </c>
    </row>
    <row r="35" spans="1:8" x14ac:dyDescent="0.3">
      <c r="A35" s="3">
        <v>34</v>
      </c>
      <c r="B35" s="6" t="s">
        <v>58</v>
      </c>
      <c r="C35" t="s">
        <v>13</v>
      </c>
      <c r="D35" t="s">
        <v>14</v>
      </c>
      <c r="E35" t="s">
        <v>15</v>
      </c>
      <c r="F35" t="s">
        <v>25</v>
      </c>
      <c r="G35" s="5">
        <v>34500</v>
      </c>
      <c r="H35" t="str">
        <f>TEXT(Ventas[[#This Row],[Fecha]],"mmmm")</f>
        <v>mayo</v>
      </c>
    </row>
    <row r="36" spans="1:8" x14ac:dyDescent="0.3">
      <c r="A36" s="3">
        <v>35</v>
      </c>
      <c r="B36" s="6" t="s">
        <v>59</v>
      </c>
      <c r="C36" t="s">
        <v>8</v>
      </c>
      <c r="D36" t="s">
        <v>30</v>
      </c>
      <c r="E36" t="s">
        <v>10</v>
      </c>
      <c r="F36" t="s">
        <v>25</v>
      </c>
      <c r="G36" s="5">
        <v>21800</v>
      </c>
      <c r="H36" t="str">
        <f>TEXT(Ventas[[#This Row],[Fecha]],"mmmm")</f>
        <v>mayo</v>
      </c>
    </row>
    <row r="37" spans="1:8" x14ac:dyDescent="0.3">
      <c r="A37" s="3">
        <v>36</v>
      </c>
      <c r="B37" s="6" t="s">
        <v>60</v>
      </c>
      <c r="C37" t="s">
        <v>13</v>
      </c>
      <c r="D37" t="s">
        <v>14</v>
      </c>
      <c r="E37" t="s">
        <v>33</v>
      </c>
      <c r="F37" t="s">
        <v>11</v>
      </c>
      <c r="G37" s="5">
        <v>27500</v>
      </c>
      <c r="H37" t="str">
        <f>TEXT(Ventas[[#This Row],[Fecha]],"mmmm")</f>
        <v>mayo</v>
      </c>
    </row>
    <row r="38" spans="1:8" x14ac:dyDescent="0.3">
      <c r="A38" s="3">
        <v>37</v>
      </c>
      <c r="B38" s="6" t="s">
        <v>60</v>
      </c>
      <c r="C38" t="s">
        <v>8</v>
      </c>
      <c r="D38" t="s">
        <v>30</v>
      </c>
      <c r="E38" t="s">
        <v>15</v>
      </c>
      <c r="F38" t="s">
        <v>25</v>
      </c>
      <c r="G38" s="5">
        <v>40400</v>
      </c>
      <c r="H38" t="str">
        <f>TEXT(Ventas[[#This Row],[Fecha]],"mmmm")</f>
        <v>mayo</v>
      </c>
    </row>
    <row r="39" spans="1:8" x14ac:dyDescent="0.3">
      <c r="A39" s="3">
        <v>38</v>
      </c>
      <c r="B39" s="6" t="s">
        <v>61</v>
      </c>
      <c r="C39" t="s">
        <v>22</v>
      </c>
      <c r="D39" t="s">
        <v>23</v>
      </c>
      <c r="E39" t="s">
        <v>42</v>
      </c>
      <c r="F39" t="s">
        <v>16</v>
      </c>
      <c r="G39" s="5">
        <v>42000</v>
      </c>
      <c r="H39" t="str">
        <f>TEXT(Ventas[[#This Row],[Fecha]],"mmmm")</f>
        <v>mayo</v>
      </c>
    </row>
    <row r="40" spans="1:8" x14ac:dyDescent="0.3">
      <c r="A40" s="3">
        <v>39</v>
      </c>
      <c r="B40" s="6" t="s">
        <v>62</v>
      </c>
      <c r="C40" t="s">
        <v>8</v>
      </c>
      <c r="D40" t="s">
        <v>30</v>
      </c>
      <c r="E40" t="s">
        <v>33</v>
      </c>
      <c r="F40" t="s">
        <v>16</v>
      </c>
      <c r="G40" s="5">
        <v>27900</v>
      </c>
      <c r="H40" t="str">
        <f>TEXT(Ventas[[#This Row],[Fecha]],"mmmm")</f>
        <v>junio</v>
      </c>
    </row>
    <row r="41" spans="1:8" x14ac:dyDescent="0.3">
      <c r="A41" s="3">
        <v>40</v>
      </c>
      <c r="B41" s="6" t="s">
        <v>63</v>
      </c>
      <c r="C41" t="s">
        <v>8</v>
      </c>
      <c r="D41" t="s">
        <v>9</v>
      </c>
      <c r="E41" t="s">
        <v>37</v>
      </c>
      <c r="F41" t="s">
        <v>11</v>
      </c>
      <c r="G41" s="5">
        <v>22000</v>
      </c>
      <c r="H41" t="str">
        <f>TEXT(Ventas[[#This Row],[Fecha]],"mmmm")</f>
        <v>junio</v>
      </c>
    </row>
    <row r="42" spans="1:8" x14ac:dyDescent="0.3">
      <c r="A42" s="3">
        <v>41</v>
      </c>
      <c r="B42" s="6" t="s">
        <v>64</v>
      </c>
      <c r="C42" t="s">
        <v>22</v>
      </c>
      <c r="D42" t="s">
        <v>23</v>
      </c>
      <c r="E42" t="s">
        <v>37</v>
      </c>
      <c r="F42" t="s">
        <v>16</v>
      </c>
      <c r="G42" s="5">
        <v>39000</v>
      </c>
      <c r="H42" t="str">
        <f>TEXT(Ventas[[#This Row],[Fecha]],"mmmm")</f>
        <v>junio</v>
      </c>
    </row>
    <row r="43" spans="1:8" x14ac:dyDescent="0.3">
      <c r="A43" s="3">
        <v>42</v>
      </c>
      <c r="B43" s="6" t="s">
        <v>65</v>
      </c>
      <c r="C43" t="s">
        <v>18</v>
      </c>
      <c r="D43" t="s">
        <v>19</v>
      </c>
      <c r="E43" t="s">
        <v>42</v>
      </c>
      <c r="F43" t="s">
        <v>25</v>
      </c>
      <c r="G43" s="5">
        <v>26200</v>
      </c>
      <c r="H43" t="str">
        <f>TEXT(Ventas[[#This Row],[Fecha]],"mmmm")</f>
        <v>junio</v>
      </c>
    </row>
    <row r="44" spans="1:8" x14ac:dyDescent="0.3">
      <c r="A44" s="3">
        <v>43</v>
      </c>
      <c r="B44" s="6" t="s">
        <v>66</v>
      </c>
      <c r="C44" t="s">
        <v>8</v>
      </c>
      <c r="D44" t="s">
        <v>9</v>
      </c>
      <c r="E44" t="s">
        <v>20</v>
      </c>
      <c r="F44" t="s">
        <v>25</v>
      </c>
      <c r="G44" s="5">
        <v>32600</v>
      </c>
      <c r="H44" t="str">
        <f>TEXT(Ventas[[#This Row],[Fecha]],"mmmm")</f>
        <v>junio</v>
      </c>
    </row>
    <row r="45" spans="1:8" x14ac:dyDescent="0.3">
      <c r="A45" s="3">
        <v>44</v>
      </c>
      <c r="B45" s="6" t="s">
        <v>67</v>
      </c>
      <c r="C45" t="s">
        <v>22</v>
      </c>
      <c r="D45" t="s">
        <v>23</v>
      </c>
      <c r="E45" t="s">
        <v>37</v>
      </c>
      <c r="F45" t="s">
        <v>16</v>
      </c>
      <c r="G45" s="5">
        <v>27500</v>
      </c>
      <c r="H45" t="str">
        <f>TEXT(Ventas[[#This Row],[Fecha]],"mmmm")</f>
        <v>junio</v>
      </c>
    </row>
    <row r="46" spans="1:8" x14ac:dyDescent="0.3">
      <c r="A46" s="3">
        <v>45</v>
      </c>
      <c r="B46" s="6" t="s">
        <v>68</v>
      </c>
      <c r="C46" t="s">
        <v>22</v>
      </c>
      <c r="D46" t="s">
        <v>23</v>
      </c>
      <c r="E46" t="s">
        <v>33</v>
      </c>
      <c r="F46" t="s">
        <v>16</v>
      </c>
      <c r="G46" s="5">
        <v>30500</v>
      </c>
      <c r="H46" t="str">
        <f>TEXT(Ventas[[#This Row],[Fecha]],"mmmm")</f>
        <v>junio</v>
      </c>
    </row>
    <row r="47" spans="1:8" x14ac:dyDescent="0.3">
      <c r="A47" s="3">
        <v>46</v>
      </c>
      <c r="B47" s="6" t="s">
        <v>69</v>
      </c>
      <c r="C47" t="s">
        <v>8</v>
      </c>
      <c r="D47" t="s">
        <v>30</v>
      </c>
      <c r="E47" t="s">
        <v>10</v>
      </c>
      <c r="F47" t="s">
        <v>25</v>
      </c>
      <c r="G47" s="5">
        <v>21100</v>
      </c>
      <c r="H47" t="str">
        <f>TEXT(Ventas[[#This Row],[Fecha]],"mmmm")</f>
        <v>junio</v>
      </c>
    </row>
    <row r="48" spans="1:8" x14ac:dyDescent="0.3">
      <c r="A48" s="3">
        <v>47</v>
      </c>
      <c r="B48" s="6" t="s">
        <v>70</v>
      </c>
      <c r="C48" t="s">
        <v>13</v>
      </c>
      <c r="D48" t="s">
        <v>14</v>
      </c>
      <c r="E48" t="s">
        <v>10</v>
      </c>
      <c r="F48" t="s">
        <v>25</v>
      </c>
      <c r="G48" s="5">
        <v>21200</v>
      </c>
      <c r="H48" t="str">
        <f>TEXT(Ventas[[#This Row],[Fecha]],"mmmm")</f>
        <v>julio</v>
      </c>
    </row>
    <row r="49" spans="1:8" x14ac:dyDescent="0.3">
      <c r="A49" s="3">
        <v>48</v>
      </c>
      <c r="B49" s="6" t="s">
        <v>71</v>
      </c>
      <c r="C49" t="s">
        <v>13</v>
      </c>
      <c r="D49" t="s">
        <v>14</v>
      </c>
      <c r="E49" t="s">
        <v>37</v>
      </c>
      <c r="F49" t="s">
        <v>16</v>
      </c>
      <c r="G49" s="5">
        <v>35500</v>
      </c>
      <c r="H49" t="str">
        <f>TEXT(Ventas[[#This Row],[Fecha]],"mmmm")</f>
        <v>julio</v>
      </c>
    </row>
    <row r="50" spans="1:8" x14ac:dyDescent="0.3">
      <c r="A50" s="3">
        <v>49</v>
      </c>
      <c r="B50" s="6" t="s">
        <v>72</v>
      </c>
      <c r="C50" t="s">
        <v>18</v>
      </c>
      <c r="D50" t="s">
        <v>19</v>
      </c>
      <c r="E50" t="s">
        <v>10</v>
      </c>
      <c r="F50" t="s">
        <v>16</v>
      </c>
      <c r="G50" s="5">
        <v>24000</v>
      </c>
      <c r="H50" t="str">
        <f>TEXT(Ventas[[#This Row],[Fecha]],"mmmm")</f>
        <v>julio</v>
      </c>
    </row>
    <row r="51" spans="1:8" x14ac:dyDescent="0.3">
      <c r="A51" s="3">
        <v>50</v>
      </c>
      <c r="B51" s="6" t="s">
        <v>73</v>
      </c>
      <c r="C51" t="s">
        <v>13</v>
      </c>
      <c r="D51" t="s">
        <v>14</v>
      </c>
      <c r="E51" t="s">
        <v>42</v>
      </c>
      <c r="F51" t="s">
        <v>11</v>
      </c>
      <c r="G51" s="5">
        <v>18800</v>
      </c>
      <c r="H51" t="str">
        <f>TEXT(Ventas[[#This Row],[Fecha]],"mmmm")</f>
        <v>julio</v>
      </c>
    </row>
    <row r="52" spans="1:8" x14ac:dyDescent="0.3">
      <c r="A52" s="3">
        <v>51</v>
      </c>
      <c r="B52" s="6" t="s">
        <v>74</v>
      </c>
      <c r="C52" t="s">
        <v>22</v>
      </c>
      <c r="D52" t="s">
        <v>23</v>
      </c>
      <c r="E52" t="s">
        <v>20</v>
      </c>
      <c r="F52" t="s">
        <v>16</v>
      </c>
      <c r="G52" s="5">
        <v>23300</v>
      </c>
      <c r="H52" t="str">
        <f>TEXT(Ventas[[#This Row],[Fecha]],"mmmm")</f>
        <v>julio</v>
      </c>
    </row>
    <row r="53" spans="1:8" x14ac:dyDescent="0.3">
      <c r="A53" s="3">
        <v>52</v>
      </c>
      <c r="B53" s="6" t="s">
        <v>75</v>
      </c>
      <c r="C53" t="s">
        <v>8</v>
      </c>
      <c r="D53" t="s">
        <v>30</v>
      </c>
      <c r="E53" t="s">
        <v>15</v>
      </c>
      <c r="F53" t="s">
        <v>16</v>
      </c>
      <c r="G53" s="5">
        <v>38500</v>
      </c>
      <c r="H53" t="str">
        <f>TEXT(Ventas[[#This Row],[Fecha]],"mmmm")</f>
        <v>julio</v>
      </c>
    </row>
    <row r="54" spans="1:8" x14ac:dyDescent="0.3">
      <c r="A54" s="3">
        <v>53</v>
      </c>
      <c r="B54" s="6" t="s">
        <v>76</v>
      </c>
      <c r="C54" t="s">
        <v>13</v>
      </c>
      <c r="D54" t="s">
        <v>14</v>
      </c>
      <c r="E54" t="s">
        <v>15</v>
      </c>
      <c r="F54" t="s">
        <v>25</v>
      </c>
      <c r="G54" s="5">
        <v>32900</v>
      </c>
      <c r="H54" t="str">
        <f>TEXT(Ventas[[#This Row],[Fecha]],"mmmm")</f>
        <v>julio</v>
      </c>
    </row>
    <row r="55" spans="1:8" x14ac:dyDescent="0.3">
      <c r="A55" s="3">
        <v>54</v>
      </c>
      <c r="B55" s="6" t="s">
        <v>77</v>
      </c>
      <c r="C55" t="s">
        <v>22</v>
      </c>
      <c r="D55" t="s">
        <v>23</v>
      </c>
      <c r="E55" t="s">
        <v>15</v>
      </c>
      <c r="F55" t="s">
        <v>25</v>
      </c>
      <c r="G55" s="5">
        <v>31400</v>
      </c>
      <c r="H55" t="str">
        <f>TEXT(Ventas[[#This Row],[Fecha]],"mmmm")</f>
        <v>agosto</v>
      </c>
    </row>
    <row r="56" spans="1:8" x14ac:dyDescent="0.3">
      <c r="A56" s="3">
        <v>55</v>
      </c>
      <c r="B56" s="6" t="s">
        <v>78</v>
      </c>
      <c r="C56" t="s">
        <v>8</v>
      </c>
      <c r="D56" t="s">
        <v>30</v>
      </c>
      <c r="E56" t="s">
        <v>20</v>
      </c>
      <c r="F56" t="s">
        <v>16</v>
      </c>
      <c r="G56" s="5">
        <v>32000</v>
      </c>
      <c r="H56" t="str">
        <f>TEXT(Ventas[[#This Row],[Fecha]],"mmmm")</f>
        <v>agosto</v>
      </c>
    </row>
    <row r="57" spans="1:8" x14ac:dyDescent="0.3">
      <c r="A57" s="3">
        <v>56</v>
      </c>
      <c r="B57" s="6" t="s">
        <v>79</v>
      </c>
      <c r="C57" t="s">
        <v>8</v>
      </c>
      <c r="D57" t="s">
        <v>30</v>
      </c>
      <c r="E57" t="s">
        <v>15</v>
      </c>
      <c r="F57" t="s">
        <v>25</v>
      </c>
      <c r="G57" s="5">
        <v>42000</v>
      </c>
      <c r="H57" t="str">
        <f>TEXT(Ventas[[#This Row],[Fecha]],"mmmm")</f>
        <v>agosto</v>
      </c>
    </row>
    <row r="58" spans="1:8" x14ac:dyDescent="0.3">
      <c r="A58" s="3">
        <v>57</v>
      </c>
      <c r="B58" s="6" t="s">
        <v>80</v>
      </c>
      <c r="C58" t="s">
        <v>13</v>
      </c>
      <c r="D58" t="s">
        <v>14</v>
      </c>
      <c r="E58" t="s">
        <v>42</v>
      </c>
      <c r="F58" t="s">
        <v>16</v>
      </c>
      <c r="G58" s="5">
        <v>29700</v>
      </c>
      <c r="H58" t="str">
        <f>TEXT(Ventas[[#This Row],[Fecha]],"mmmm")</f>
        <v>agosto</v>
      </c>
    </row>
    <row r="59" spans="1:8" x14ac:dyDescent="0.3">
      <c r="A59" s="3">
        <v>58</v>
      </c>
      <c r="B59" s="6" t="s">
        <v>81</v>
      </c>
      <c r="C59" t="s">
        <v>18</v>
      </c>
      <c r="D59" t="s">
        <v>19</v>
      </c>
      <c r="E59" t="s">
        <v>15</v>
      </c>
      <c r="F59" t="s">
        <v>25</v>
      </c>
      <c r="G59" s="5">
        <v>42300</v>
      </c>
      <c r="H59" t="str">
        <f>TEXT(Ventas[[#This Row],[Fecha]],"mmmm")</f>
        <v>agosto</v>
      </c>
    </row>
    <row r="60" spans="1:8" x14ac:dyDescent="0.3">
      <c r="A60" s="3">
        <v>59</v>
      </c>
      <c r="B60" s="6" t="s">
        <v>82</v>
      </c>
      <c r="C60" t="s">
        <v>13</v>
      </c>
      <c r="D60" t="s">
        <v>14</v>
      </c>
      <c r="E60" t="s">
        <v>10</v>
      </c>
      <c r="F60" t="s">
        <v>25</v>
      </c>
      <c r="G60" s="5">
        <v>33300</v>
      </c>
      <c r="H60" t="str">
        <f>TEXT(Ventas[[#This Row],[Fecha]],"mmmm")</f>
        <v>agosto</v>
      </c>
    </row>
    <row r="61" spans="1:8" x14ac:dyDescent="0.3">
      <c r="A61" s="3">
        <v>60</v>
      </c>
      <c r="B61" s="6" t="s">
        <v>83</v>
      </c>
      <c r="C61" t="s">
        <v>8</v>
      </c>
      <c r="D61" t="s">
        <v>30</v>
      </c>
      <c r="E61" t="s">
        <v>37</v>
      </c>
      <c r="F61" t="s">
        <v>16</v>
      </c>
      <c r="G61" s="5">
        <v>25900</v>
      </c>
      <c r="H61" t="str">
        <f>TEXT(Ventas[[#This Row],[Fecha]],"mmmm")</f>
        <v>agosto</v>
      </c>
    </row>
    <row r="62" spans="1:8" x14ac:dyDescent="0.3">
      <c r="A62" s="3">
        <v>61</v>
      </c>
      <c r="B62" s="6" t="s">
        <v>84</v>
      </c>
      <c r="C62" t="s">
        <v>22</v>
      </c>
      <c r="D62" t="s">
        <v>23</v>
      </c>
      <c r="E62" t="s">
        <v>33</v>
      </c>
      <c r="F62" t="s">
        <v>25</v>
      </c>
      <c r="G62" s="5">
        <v>28600</v>
      </c>
      <c r="H62" t="str">
        <f>TEXT(Ventas[[#This Row],[Fecha]],"mmmm")</f>
        <v>agosto</v>
      </c>
    </row>
    <row r="63" spans="1:8" x14ac:dyDescent="0.3">
      <c r="A63" s="3">
        <v>62</v>
      </c>
      <c r="B63" s="6" t="s">
        <v>85</v>
      </c>
      <c r="C63" t="s">
        <v>13</v>
      </c>
      <c r="D63" t="s">
        <v>14</v>
      </c>
      <c r="E63" t="s">
        <v>33</v>
      </c>
      <c r="F63" t="s">
        <v>25</v>
      </c>
      <c r="G63" s="5">
        <v>25900</v>
      </c>
      <c r="H63" t="str">
        <f>TEXT(Ventas[[#This Row],[Fecha]],"mmmm")</f>
        <v>septiembre</v>
      </c>
    </row>
    <row r="64" spans="1:8" x14ac:dyDescent="0.3">
      <c r="A64" s="3">
        <v>63</v>
      </c>
      <c r="B64" s="6" t="s">
        <v>86</v>
      </c>
      <c r="C64" t="s">
        <v>8</v>
      </c>
      <c r="D64" t="s">
        <v>30</v>
      </c>
      <c r="E64" t="s">
        <v>33</v>
      </c>
      <c r="F64" t="s">
        <v>16</v>
      </c>
      <c r="G64" s="5">
        <v>34500</v>
      </c>
      <c r="H64" t="str">
        <f>TEXT(Ventas[[#This Row],[Fecha]],"mmmm")</f>
        <v>septiembre</v>
      </c>
    </row>
    <row r="65" spans="1:8" x14ac:dyDescent="0.3">
      <c r="A65" s="3">
        <v>64</v>
      </c>
      <c r="B65" s="6" t="s">
        <v>87</v>
      </c>
      <c r="C65" t="s">
        <v>22</v>
      </c>
      <c r="D65" t="s">
        <v>23</v>
      </c>
      <c r="E65" t="s">
        <v>33</v>
      </c>
      <c r="F65" t="s">
        <v>25</v>
      </c>
      <c r="G65" s="5">
        <v>22000</v>
      </c>
      <c r="H65" t="str">
        <f>TEXT(Ventas[[#This Row],[Fecha]],"mmmm")</f>
        <v>septiembre</v>
      </c>
    </row>
    <row r="66" spans="1:8" x14ac:dyDescent="0.3">
      <c r="A66" s="3">
        <v>65</v>
      </c>
      <c r="B66" s="6" t="s">
        <v>88</v>
      </c>
      <c r="C66" t="s">
        <v>8</v>
      </c>
      <c r="D66" t="s">
        <v>9</v>
      </c>
      <c r="E66" t="s">
        <v>10</v>
      </c>
      <c r="F66" t="s">
        <v>11</v>
      </c>
      <c r="G66" s="5">
        <v>28300</v>
      </c>
      <c r="H66" t="str">
        <f>TEXT(Ventas[[#This Row],[Fecha]],"mmmm")</f>
        <v>septiembre</v>
      </c>
    </row>
    <row r="67" spans="1:8" x14ac:dyDescent="0.3">
      <c r="A67" s="3">
        <v>66</v>
      </c>
      <c r="B67" s="6" t="s">
        <v>89</v>
      </c>
      <c r="C67" t="s">
        <v>8</v>
      </c>
      <c r="D67" t="s">
        <v>9</v>
      </c>
      <c r="E67" t="s">
        <v>42</v>
      </c>
      <c r="F67" t="s">
        <v>11</v>
      </c>
      <c r="G67" s="5">
        <v>24900</v>
      </c>
      <c r="H67" t="str">
        <f>TEXT(Ventas[[#This Row],[Fecha]],"mmmm")</f>
        <v>septiembre</v>
      </c>
    </row>
    <row r="68" spans="1:8" x14ac:dyDescent="0.3">
      <c r="A68" s="3">
        <v>67</v>
      </c>
      <c r="B68" s="6" t="s">
        <v>90</v>
      </c>
      <c r="C68" t="s">
        <v>8</v>
      </c>
      <c r="D68" t="s">
        <v>30</v>
      </c>
      <c r="E68" t="s">
        <v>15</v>
      </c>
      <c r="F68" t="s">
        <v>11</v>
      </c>
      <c r="G68" s="5">
        <v>27900</v>
      </c>
      <c r="H68" t="str">
        <f>TEXT(Ventas[[#This Row],[Fecha]],"mmmm")</f>
        <v>septiembre</v>
      </c>
    </row>
    <row r="69" spans="1:8" x14ac:dyDescent="0.3">
      <c r="A69" s="3">
        <v>68</v>
      </c>
      <c r="B69" s="6" t="s">
        <v>91</v>
      </c>
      <c r="C69" t="s">
        <v>13</v>
      </c>
      <c r="D69" t="s">
        <v>14</v>
      </c>
      <c r="E69" t="s">
        <v>42</v>
      </c>
      <c r="F69" t="s">
        <v>11</v>
      </c>
      <c r="G69" s="5">
        <v>19000</v>
      </c>
      <c r="H69" t="str">
        <f>TEXT(Ventas[[#This Row],[Fecha]],"mmmm")</f>
        <v>septiembre</v>
      </c>
    </row>
    <row r="70" spans="1:8" x14ac:dyDescent="0.3">
      <c r="A70" s="3">
        <v>69</v>
      </c>
      <c r="B70" s="6" t="s">
        <v>92</v>
      </c>
      <c r="C70" t="s">
        <v>8</v>
      </c>
      <c r="D70" t="s">
        <v>9</v>
      </c>
      <c r="E70" t="s">
        <v>15</v>
      </c>
      <c r="F70" t="s">
        <v>11</v>
      </c>
      <c r="G70" s="5">
        <v>27900</v>
      </c>
      <c r="H70" t="str">
        <f>TEXT(Ventas[[#This Row],[Fecha]],"mmmm")</f>
        <v>septiembre</v>
      </c>
    </row>
    <row r="71" spans="1:8" x14ac:dyDescent="0.3">
      <c r="A71" s="3">
        <v>70</v>
      </c>
      <c r="B71" s="6" t="s">
        <v>93</v>
      </c>
      <c r="C71" t="s">
        <v>18</v>
      </c>
      <c r="D71" t="s">
        <v>19</v>
      </c>
      <c r="E71" t="s">
        <v>42</v>
      </c>
      <c r="F71" t="s">
        <v>16</v>
      </c>
      <c r="G71" s="5">
        <v>25100</v>
      </c>
      <c r="H71" t="str">
        <f>TEXT(Ventas[[#This Row],[Fecha]],"mmmm")</f>
        <v>octubre</v>
      </c>
    </row>
    <row r="72" spans="1:8" x14ac:dyDescent="0.3">
      <c r="A72" s="3">
        <v>71</v>
      </c>
      <c r="B72" s="6" t="s">
        <v>94</v>
      </c>
      <c r="C72" t="s">
        <v>22</v>
      </c>
      <c r="D72" t="s">
        <v>23</v>
      </c>
      <c r="E72" t="s">
        <v>20</v>
      </c>
      <c r="F72" t="s">
        <v>11</v>
      </c>
      <c r="G72" s="5">
        <v>24400</v>
      </c>
      <c r="H72" t="str">
        <f>TEXT(Ventas[[#This Row],[Fecha]],"mmmm")</f>
        <v>octubre</v>
      </c>
    </row>
    <row r="73" spans="1:8" x14ac:dyDescent="0.3">
      <c r="A73" s="3">
        <v>72</v>
      </c>
      <c r="B73" s="6" t="s">
        <v>95</v>
      </c>
      <c r="C73" t="s">
        <v>13</v>
      </c>
      <c r="D73" t="s">
        <v>14</v>
      </c>
      <c r="E73" t="s">
        <v>20</v>
      </c>
      <c r="F73" t="s">
        <v>25</v>
      </c>
      <c r="G73" s="5">
        <v>22100</v>
      </c>
      <c r="H73" t="str">
        <f>TEXT(Ventas[[#This Row],[Fecha]],"mmmm")</f>
        <v>octubre</v>
      </c>
    </row>
    <row r="74" spans="1:8" x14ac:dyDescent="0.3">
      <c r="A74" s="3">
        <v>73</v>
      </c>
      <c r="B74" s="6" t="s">
        <v>96</v>
      </c>
      <c r="C74" t="s">
        <v>13</v>
      </c>
      <c r="D74" t="s">
        <v>14</v>
      </c>
      <c r="E74" t="s">
        <v>15</v>
      </c>
      <c r="F74" t="s">
        <v>25</v>
      </c>
      <c r="G74" s="5">
        <v>37900</v>
      </c>
      <c r="H74" t="str">
        <f>TEXT(Ventas[[#This Row],[Fecha]],"mmmm")</f>
        <v>octubre</v>
      </c>
    </row>
    <row r="75" spans="1:8" x14ac:dyDescent="0.3">
      <c r="A75" s="3">
        <v>74</v>
      </c>
      <c r="B75" s="6" t="s">
        <v>97</v>
      </c>
      <c r="C75" t="s">
        <v>8</v>
      </c>
      <c r="D75" t="s">
        <v>9</v>
      </c>
      <c r="E75" t="s">
        <v>10</v>
      </c>
      <c r="F75" t="s">
        <v>25</v>
      </c>
      <c r="G75" s="5">
        <v>26700</v>
      </c>
      <c r="H75" t="str">
        <f>TEXT(Ventas[[#This Row],[Fecha]],"mmmm")</f>
        <v>octubre</v>
      </c>
    </row>
    <row r="76" spans="1:8" x14ac:dyDescent="0.3">
      <c r="A76" s="3">
        <v>75</v>
      </c>
      <c r="B76" s="6" t="s">
        <v>98</v>
      </c>
      <c r="C76" t="s">
        <v>18</v>
      </c>
      <c r="D76" t="s">
        <v>19</v>
      </c>
      <c r="E76" t="s">
        <v>37</v>
      </c>
      <c r="F76" t="s">
        <v>16</v>
      </c>
      <c r="G76" s="5">
        <v>33100</v>
      </c>
      <c r="H76" t="str">
        <f>TEXT(Ventas[[#This Row],[Fecha]],"mmmm")</f>
        <v>octubre</v>
      </c>
    </row>
    <row r="77" spans="1:8" x14ac:dyDescent="0.3">
      <c r="A77" s="3">
        <v>76</v>
      </c>
      <c r="B77" s="6" t="s">
        <v>99</v>
      </c>
      <c r="C77" t="s">
        <v>8</v>
      </c>
      <c r="D77" t="s">
        <v>30</v>
      </c>
      <c r="E77" t="s">
        <v>33</v>
      </c>
      <c r="F77" t="s">
        <v>11</v>
      </c>
      <c r="G77" s="5">
        <v>26500</v>
      </c>
      <c r="H77" t="str">
        <f>TEXT(Ventas[[#This Row],[Fecha]],"mmmm")</f>
        <v>octubre</v>
      </c>
    </row>
    <row r="78" spans="1:8" x14ac:dyDescent="0.3">
      <c r="A78" s="3">
        <v>77</v>
      </c>
      <c r="B78" s="6" t="s">
        <v>100</v>
      </c>
      <c r="C78" t="s">
        <v>8</v>
      </c>
      <c r="D78" t="s">
        <v>30</v>
      </c>
      <c r="E78" t="s">
        <v>15</v>
      </c>
      <c r="F78" t="s">
        <v>11</v>
      </c>
      <c r="G78" s="5">
        <v>30700</v>
      </c>
      <c r="H78" t="str">
        <f>TEXT(Ventas[[#This Row],[Fecha]],"mmmm")</f>
        <v>noviembre</v>
      </c>
    </row>
    <row r="79" spans="1:8" x14ac:dyDescent="0.3">
      <c r="A79" s="3">
        <v>78</v>
      </c>
      <c r="B79" s="6" t="s">
        <v>101</v>
      </c>
      <c r="C79" t="s">
        <v>8</v>
      </c>
      <c r="D79" t="s">
        <v>9</v>
      </c>
      <c r="E79" t="s">
        <v>10</v>
      </c>
      <c r="F79" t="s">
        <v>25</v>
      </c>
      <c r="G79" s="5">
        <v>26200</v>
      </c>
      <c r="H79" t="str">
        <f>TEXT(Ventas[[#This Row],[Fecha]],"mmmm")</f>
        <v>noviembre</v>
      </c>
    </row>
    <row r="80" spans="1:8" x14ac:dyDescent="0.3">
      <c r="A80" s="3">
        <v>79</v>
      </c>
      <c r="B80" s="6" t="s">
        <v>102</v>
      </c>
      <c r="C80" t="s">
        <v>18</v>
      </c>
      <c r="D80" t="s">
        <v>19</v>
      </c>
      <c r="E80" t="s">
        <v>37</v>
      </c>
      <c r="F80" t="s">
        <v>11</v>
      </c>
      <c r="G80" s="5">
        <v>19900</v>
      </c>
      <c r="H80" t="str">
        <f>TEXT(Ventas[[#This Row],[Fecha]],"mmmm")</f>
        <v>noviembre</v>
      </c>
    </row>
    <row r="81" spans="1:8" x14ac:dyDescent="0.3">
      <c r="A81" s="3">
        <v>80</v>
      </c>
      <c r="B81" s="6" t="s">
        <v>103</v>
      </c>
      <c r="C81" t="s">
        <v>8</v>
      </c>
      <c r="D81" t="s">
        <v>9</v>
      </c>
      <c r="E81" t="s">
        <v>20</v>
      </c>
      <c r="F81" t="s">
        <v>11</v>
      </c>
      <c r="G81" s="5">
        <v>26000</v>
      </c>
      <c r="H81" t="str">
        <f>TEXT(Ventas[[#This Row],[Fecha]],"mmmm")</f>
        <v>noviembre</v>
      </c>
    </row>
    <row r="82" spans="1:8" x14ac:dyDescent="0.3">
      <c r="A82" s="3">
        <v>81</v>
      </c>
      <c r="B82" s="6" t="s">
        <v>104</v>
      </c>
      <c r="C82" t="s">
        <v>8</v>
      </c>
      <c r="D82" t="s">
        <v>9</v>
      </c>
      <c r="E82" t="s">
        <v>15</v>
      </c>
      <c r="F82" t="s">
        <v>16</v>
      </c>
      <c r="G82" s="5">
        <v>36700</v>
      </c>
      <c r="H82" t="str">
        <f>TEXT(Ventas[[#This Row],[Fecha]],"mmmm")</f>
        <v>noviembre</v>
      </c>
    </row>
    <row r="83" spans="1:8" x14ac:dyDescent="0.3">
      <c r="A83" s="3">
        <v>82</v>
      </c>
      <c r="B83" s="6" t="s">
        <v>105</v>
      </c>
      <c r="C83" t="s">
        <v>13</v>
      </c>
      <c r="D83" t="s">
        <v>14</v>
      </c>
      <c r="E83" t="s">
        <v>10</v>
      </c>
      <c r="F83" t="s">
        <v>25</v>
      </c>
      <c r="G83" s="5">
        <v>21200</v>
      </c>
      <c r="H83" t="str">
        <f>TEXT(Ventas[[#This Row],[Fecha]],"mmmm")</f>
        <v>noviembre</v>
      </c>
    </row>
    <row r="84" spans="1:8" x14ac:dyDescent="0.3">
      <c r="A84" s="3">
        <v>83</v>
      </c>
      <c r="B84" s="6" t="s">
        <v>106</v>
      </c>
      <c r="C84" t="s">
        <v>8</v>
      </c>
      <c r="D84" t="s">
        <v>30</v>
      </c>
      <c r="E84" t="s">
        <v>10</v>
      </c>
      <c r="F84" t="s">
        <v>25</v>
      </c>
      <c r="G84" s="5">
        <v>21100</v>
      </c>
      <c r="H84" t="str">
        <f>TEXT(Ventas[[#This Row],[Fecha]],"mmmm")</f>
        <v>noviembre</v>
      </c>
    </row>
    <row r="85" spans="1:8" x14ac:dyDescent="0.3">
      <c r="A85" s="3">
        <v>84</v>
      </c>
      <c r="B85" s="6" t="s">
        <v>107</v>
      </c>
      <c r="C85" t="s">
        <v>8</v>
      </c>
      <c r="D85" t="s">
        <v>9</v>
      </c>
      <c r="E85" t="s">
        <v>10</v>
      </c>
      <c r="F85" t="s">
        <v>16</v>
      </c>
      <c r="G85" s="5">
        <v>36400</v>
      </c>
      <c r="H85" t="str">
        <f>TEXT(Ventas[[#This Row],[Fecha]],"mmmm")</f>
        <v>noviembre</v>
      </c>
    </row>
    <row r="86" spans="1:8" x14ac:dyDescent="0.3">
      <c r="A86" s="3">
        <v>85</v>
      </c>
      <c r="B86" s="6" t="s">
        <v>108</v>
      </c>
      <c r="C86" t="s">
        <v>8</v>
      </c>
      <c r="D86" t="s">
        <v>9</v>
      </c>
      <c r="E86" t="s">
        <v>20</v>
      </c>
      <c r="F86" t="s">
        <v>16</v>
      </c>
      <c r="G86" s="5">
        <v>23000</v>
      </c>
      <c r="H86" t="str">
        <f>TEXT(Ventas[[#This Row],[Fecha]],"mmmm")</f>
        <v>diciembre</v>
      </c>
    </row>
    <row r="87" spans="1:8" x14ac:dyDescent="0.3">
      <c r="A87" s="3">
        <v>86</v>
      </c>
      <c r="B87" s="6" t="s">
        <v>109</v>
      </c>
      <c r="C87" t="s">
        <v>8</v>
      </c>
      <c r="D87" t="s">
        <v>30</v>
      </c>
      <c r="E87" t="s">
        <v>33</v>
      </c>
      <c r="F87" t="s">
        <v>11</v>
      </c>
      <c r="G87" s="5">
        <v>16700</v>
      </c>
      <c r="H87" t="str">
        <f>TEXT(Ventas[[#This Row],[Fecha]],"mmmm")</f>
        <v>diciembre</v>
      </c>
    </row>
    <row r="88" spans="1:8" x14ac:dyDescent="0.3">
      <c r="A88" s="3">
        <v>87</v>
      </c>
      <c r="B88" s="6" t="s">
        <v>110</v>
      </c>
      <c r="C88" t="s">
        <v>18</v>
      </c>
      <c r="D88" t="s">
        <v>19</v>
      </c>
      <c r="E88" t="s">
        <v>15</v>
      </c>
      <c r="F88" t="s">
        <v>25</v>
      </c>
      <c r="G88" s="5">
        <v>37800</v>
      </c>
      <c r="H88" t="str">
        <f>TEXT(Ventas[[#This Row],[Fecha]],"mmmm")</f>
        <v>diciembre</v>
      </c>
    </row>
    <row r="89" spans="1:8" x14ac:dyDescent="0.3">
      <c r="A89" s="3">
        <v>88</v>
      </c>
      <c r="B89" s="6" t="s">
        <v>111</v>
      </c>
      <c r="C89" t="s">
        <v>18</v>
      </c>
      <c r="D89" t="s">
        <v>19</v>
      </c>
      <c r="E89" t="s">
        <v>10</v>
      </c>
      <c r="F89" t="s">
        <v>16</v>
      </c>
      <c r="G89" s="5">
        <v>39700</v>
      </c>
      <c r="H89" t="str">
        <f>TEXT(Ventas[[#This Row],[Fecha]],"mmmm")</f>
        <v>diciembre</v>
      </c>
    </row>
    <row r="90" spans="1:8" x14ac:dyDescent="0.3">
      <c r="A90" s="3">
        <v>89</v>
      </c>
      <c r="B90" s="6" t="s">
        <v>112</v>
      </c>
      <c r="C90" t="s">
        <v>13</v>
      </c>
      <c r="D90" t="s">
        <v>14</v>
      </c>
      <c r="E90" t="s">
        <v>10</v>
      </c>
      <c r="F90" t="s">
        <v>16</v>
      </c>
      <c r="G90" s="5">
        <v>33700</v>
      </c>
      <c r="H90" t="str">
        <f>TEXT(Ventas[[#This Row],[Fecha]],"mmmm")</f>
        <v>diciembre</v>
      </c>
    </row>
    <row r="91" spans="1:8" x14ac:dyDescent="0.3">
      <c r="A91" s="3">
        <v>90</v>
      </c>
      <c r="B91" s="6" t="s">
        <v>113</v>
      </c>
      <c r="C91" t="s">
        <v>8</v>
      </c>
      <c r="D91" t="s">
        <v>9</v>
      </c>
      <c r="E91" t="s">
        <v>10</v>
      </c>
      <c r="F91" t="s">
        <v>16</v>
      </c>
      <c r="G91" s="5">
        <v>35000</v>
      </c>
      <c r="H91" t="str">
        <f>TEXT(Ventas[[#This Row],[Fecha]],"mmmm")</f>
        <v>diciembre</v>
      </c>
    </row>
    <row r="92" spans="1:8" x14ac:dyDescent="0.3">
      <c r="A92" s="3">
        <v>91</v>
      </c>
      <c r="B92" s="6" t="s">
        <v>114</v>
      </c>
      <c r="C92" t="s">
        <v>8</v>
      </c>
      <c r="D92" t="s">
        <v>30</v>
      </c>
      <c r="E92" t="s">
        <v>10</v>
      </c>
      <c r="F92" t="s">
        <v>25</v>
      </c>
      <c r="G92" s="5">
        <v>23700</v>
      </c>
      <c r="H92" t="str">
        <f>TEXT(Ventas[[#This Row],[Fecha]],"mmmm")</f>
        <v>diciembre</v>
      </c>
    </row>
    <row r="93" spans="1:8" x14ac:dyDescent="0.3">
      <c r="A93" s="3">
        <v>92</v>
      </c>
      <c r="B93" s="6" t="s">
        <v>114</v>
      </c>
      <c r="C93" t="s">
        <v>8</v>
      </c>
      <c r="D93" t="s">
        <v>30</v>
      </c>
      <c r="E93" t="s">
        <v>10</v>
      </c>
      <c r="F93" t="s">
        <v>25</v>
      </c>
      <c r="G93" s="5">
        <v>31300</v>
      </c>
      <c r="H93" t="str">
        <f>TEXT(Ventas[[#This Row],[Fecha]],"mmmm")</f>
        <v>diciembre</v>
      </c>
    </row>
    <row r="94" spans="1:8" x14ac:dyDescent="0.3">
      <c r="A94" s="3">
        <v>93</v>
      </c>
      <c r="B94" s="6" t="s">
        <v>115</v>
      </c>
      <c r="C94" t="s">
        <v>13</v>
      </c>
      <c r="D94" t="s">
        <v>14</v>
      </c>
      <c r="E94" t="s">
        <v>42</v>
      </c>
      <c r="F94" t="s">
        <v>16</v>
      </c>
      <c r="G94" s="5">
        <v>29800</v>
      </c>
      <c r="H94" t="str">
        <f>TEXT(Ventas[[#This Row],[Fecha]],"mmmm")</f>
        <v>diciembre</v>
      </c>
    </row>
    <row r="95" spans="1:8" x14ac:dyDescent="0.3">
      <c r="A95" s="3">
        <v>94</v>
      </c>
      <c r="B95" s="6" t="s">
        <v>116</v>
      </c>
      <c r="C95" t="s">
        <v>22</v>
      </c>
      <c r="D95" t="s">
        <v>23</v>
      </c>
      <c r="E95" t="s">
        <v>15</v>
      </c>
      <c r="F95" t="s">
        <v>11</v>
      </c>
      <c r="G95" s="5">
        <v>36700</v>
      </c>
      <c r="H95" t="str">
        <f>TEXT(Ventas[[#This Row],[Fecha]],"mmmm")</f>
        <v>diciembre</v>
      </c>
    </row>
    <row r="96" spans="1:8" x14ac:dyDescent="0.3">
      <c r="A96" s="3">
        <v>95</v>
      </c>
      <c r="B96" s="6" t="s">
        <v>117</v>
      </c>
      <c r="C96" t="s">
        <v>8</v>
      </c>
      <c r="D96" t="s">
        <v>9</v>
      </c>
      <c r="E96" t="s">
        <v>15</v>
      </c>
      <c r="F96" t="s">
        <v>11</v>
      </c>
      <c r="G96" s="5">
        <v>36800</v>
      </c>
      <c r="H96" t="str">
        <f>TEXT(Ventas[[#This Row],[Fecha]],"mmmm")</f>
        <v>diciembre</v>
      </c>
    </row>
    <row r="97" spans="1:8" x14ac:dyDescent="0.3">
      <c r="A97" s="3">
        <v>96</v>
      </c>
      <c r="B97" s="6" t="s">
        <v>118</v>
      </c>
      <c r="C97" t="s">
        <v>8</v>
      </c>
      <c r="D97" t="s">
        <v>9</v>
      </c>
      <c r="E97" t="s">
        <v>33</v>
      </c>
      <c r="F97" t="s">
        <v>25</v>
      </c>
      <c r="G97" s="5">
        <v>32000</v>
      </c>
      <c r="H97" t="str">
        <f>TEXT(Ventas[[#This Row],[Fecha]],"mmmm")</f>
        <v>diciembre</v>
      </c>
    </row>
    <row r="98" spans="1:8" x14ac:dyDescent="0.3">
      <c r="A98" s="3">
        <v>97</v>
      </c>
      <c r="B98" s="6" t="s">
        <v>119</v>
      </c>
      <c r="C98" t="s">
        <v>18</v>
      </c>
      <c r="D98" t="s">
        <v>19</v>
      </c>
      <c r="E98" t="s">
        <v>15</v>
      </c>
      <c r="F98" t="s">
        <v>11</v>
      </c>
      <c r="G98" s="5">
        <v>34600</v>
      </c>
      <c r="H98" t="str">
        <f>TEXT(Ventas[[#This Row],[Fecha]],"mmmm")</f>
        <v>diciembre</v>
      </c>
    </row>
    <row r="99" spans="1:8" x14ac:dyDescent="0.3">
      <c r="A99" s="3">
        <v>98</v>
      </c>
      <c r="B99" s="6" t="s">
        <v>120</v>
      </c>
      <c r="C99" t="s">
        <v>18</v>
      </c>
      <c r="D99" t="s">
        <v>19</v>
      </c>
      <c r="E99" t="s">
        <v>42</v>
      </c>
      <c r="F99" t="s">
        <v>16</v>
      </c>
      <c r="G99" s="5">
        <v>29800</v>
      </c>
      <c r="H99" t="str">
        <f>TEXT(Ventas[[#This Row],[Fecha]],"mmmm")</f>
        <v>diciembre</v>
      </c>
    </row>
    <row r="100" spans="1:8" x14ac:dyDescent="0.3">
      <c r="A100" s="3">
        <v>99</v>
      </c>
      <c r="B100" s="6" t="s">
        <v>121</v>
      </c>
      <c r="C100" t="s">
        <v>13</v>
      </c>
      <c r="D100" t="s">
        <v>14</v>
      </c>
      <c r="E100" t="s">
        <v>20</v>
      </c>
      <c r="F100" t="s">
        <v>25</v>
      </c>
      <c r="G100" s="5">
        <v>27700</v>
      </c>
      <c r="H100" t="str">
        <f>TEXT(Ventas[[#This Row],[Fecha]],"mmmm")</f>
        <v>diciembre</v>
      </c>
    </row>
    <row r="101" spans="1:8" x14ac:dyDescent="0.3">
      <c r="A101" s="3">
        <v>100</v>
      </c>
      <c r="B101" s="6" t="s">
        <v>122</v>
      </c>
      <c r="C101" t="s">
        <v>22</v>
      </c>
      <c r="D101" t="s">
        <v>23</v>
      </c>
      <c r="E101" t="s">
        <v>20</v>
      </c>
      <c r="F101" t="s">
        <v>25</v>
      </c>
      <c r="G101" s="5">
        <v>25800</v>
      </c>
      <c r="H101" t="str">
        <f>TEXT(Ventas[[#This Row],[Fecha]],"mmmm")</f>
        <v>diciembre</v>
      </c>
    </row>
    <row r="106" spans="1:8" x14ac:dyDescent="0.3">
      <c r="C106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4306-34FD-4C16-9C7A-8A2B8F1F47A8}">
  <sheetPr>
    <tabColor theme="7" tint="0.59999389629810485"/>
  </sheetPr>
  <dimension ref="A3:K83"/>
  <sheetViews>
    <sheetView topLeftCell="A7" zoomScale="85" zoomScaleNormal="85" workbookViewId="0">
      <selection activeCell="G81" sqref="G81"/>
    </sheetView>
  </sheetViews>
  <sheetFormatPr defaultColWidth="8.77734375" defaultRowHeight="14.4" x14ac:dyDescent="0.3"/>
  <cols>
    <col min="1" max="1" width="17.109375" bestFit="1" customWidth="1"/>
    <col min="2" max="2" width="14.109375" bestFit="1" customWidth="1"/>
    <col min="3" max="3" width="16.5546875" bestFit="1" customWidth="1"/>
    <col min="4" max="4" width="17.109375" bestFit="1" customWidth="1"/>
    <col min="5" max="5" width="14.109375" bestFit="1" customWidth="1"/>
    <col min="6" max="6" width="16.5546875" bestFit="1" customWidth="1"/>
    <col min="7" max="7" width="17.109375" bestFit="1" customWidth="1"/>
    <col min="8" max="8" width="16.109375" bestFit="1" customWidth="1"/>
    <col min="9" max="9" width="21.21875" bestFit="1" customWidth="1"/>
    <col min="10" max="10" width="17.109375" bestFit="1" customWidth="1"/>
    <col min="11" max="11" width="16.109375" bestFit="1" customWidth="1"/>
    <col min="12" max="81" width="21.21875" bestFit="1" customWidth="1"/>
    <col min="82" max="82" width="11.44140625" bestFit="1" customWidth="1"/>
  </cols>
  <sheetData>
    <row r="3" spans="1:2" x14ac:dyDescent="0.3">
      <c r="A3" s="7" t="s">
        <v>134</v>
      </c>
      <c r="B3" t="s">
        <v>132</v>
      </c>
    </row>
    <row r="4" spans="1:2" x14ac:dyDescent="0.3">
      <c r="A4" s="8" t="s">
        <v>123</v>
      </c>
      <c r="B4" s="5">
        <v>226300</v>
      </c>
    </row>
    <row r="5" spans="1:2" x14ac:dyDescent="0.3">
      <c r="A5" s="8" t="s">
        <v>124</v>
      </c>
      <c r="B5" s="5">
        <v>206400</v>
      </c>
    </row>
    <row r="6" spans="1:2" x14ac:dyDescent="0.3">
      <c r="A6" s="8" t="s">
        <v>135</v>
      </c>
      <c r="B6" s="5">
        <v>225700</v>
      </c>
    </row>
    <row r="7" spans="1:2" x14ac:dyDescent="0.3">
      <c r="A7" s="8" t="s">
        <v>125</v>
      </c>
      <c r="B7" s="5">
        <v>185500</v>
      </c>
    </row>
    <row r="8" spans="1:2" x14ac:dyDescent="0.3">
      <c r="A8" s="8" t="s">
        <v>136</v>
      </c>
      <c r="B8" s="5">
        <v>252300</v>
      </c>
    </row>
    <row r="9" spans="1:2" x14ac:dyDescent="0.3">
      <c r="A9" s="8" t="s">
        <v>126</v>
      </c>
      <c r="B9" s="5">
        <v>226800</v>
      </c>
    </row>
    <row r="10" spans="1:2" x14ac:dyDescent="0.3">
      <c r="A10" s="8" t="s">
        <v>127</v>
      </c>
      <c r="B10" s="5">
        <v>194200</v>
      </c>
    </row>
    <row r="11" spans="1:2" x14ac:dyDescent="0.3">
      <c r="A11" s="8" t="s">
        <v>128</v>
      </c>
      <c r="B11" s="5">
        <v>265200</v>
      </c>
    </row>
    <row r="12" spans="1:2" x14ac:dyDescent="0.3">
      <c r="A12" s="8" t="s">
        <v>137</v>
      </c>
      <c r="B12" s="5">
        <v>210400</v>
      </c>
    </row>
    <row r="13" spans="1:2" x14ac:dyDescent="0.3">
      <c r="A13" s="8" t="s">
        <v>129</v>
      </c>
      <c r="B13" s="5">
        <v>195800</v>
      </c>
    </row>
    <row r="14" spans="1:2" x14ac:dyDescent="0.3">
      <c r="A14" s="8" t="s">
        <v>130</v>
      </c>
      <c r="B14" s="5">
        <v>218200</v>
      </c>
    </row>
    <row r="15" spans="1:2" x14ac:dyDescent="0.3">
      <c r="A15" s="8" t="s">
        <v>131</v>
      </c>
      <c r="B15" s="5">
        <v>494100</v>
      </c>
    </row>
    <row r="16" spans="1:2" x14ac:dyDescent="0.3">
      <c r="A16" s="8" t="s">
        <v>138</v>
      </c>
      <c r="B16" s="5">
        <v>2900900</v>
      </c>
    </row>
    <row r="20" spans="1:2" x14ac:dyDescent="0.3">
      <c r="A20" s="7" t="s">
        <v>134</v>
      </c>
      <c r="B20" t="s">
        <v>132</v>
      </c>
    </row>
    <row r="21" spans="1:2" x14ac:dyDescent="0.3">
      <c r="A21" s="8" t="s">
        <v>23</v>
      </c>
      <c r="B21" s="5">
        <v>439000</v>
      </c>
    </row>
    <row r="22" spans="1:2" x14ac:dyDescent="0.3">
      <c r="A22" s="8" t="s">
        <v>14</v>
      </c>
      <c r="B22" s="5">
        <v>688300</v>
      </c>
    </row>
    <row r="23" spans="1:2" x14ac:dyDescent="0.3">
      <c r="A23" s="8" t="s">
        <v>9</v>
      </c>
      <c r="B23" s="5">
        <v>672000</v>
      </c>
    </row>
    <row r="24" spans="1:2" x14ac:dyDescent="0.3">
      <c r="A24" s="8" t="s">
        <v>30</v>
      </c>
      <c r="B24" s="5">
        <v>644200</v>
      </c>
    </row>
    <row r="25" spans="1:2" x14ac:dyDescent="0.3">
      <c r="A25" s="8" t="s">
        <v>19</v>
      </c>
      <c r="B25" s="5">
        <v>457400</v>
      </c>
    </row>
    <row r="26" spans="1:2" x14ac:dyDescent="0.3">
      <c r="A26" s="8" t="s">
        <v>138</v>
      </c>
      <c r="B26" s="5">
        <v>2900900</v>
      </c>
    </row>
    <row r="36" spans="1:2" x14ac:dyDescent="0.3">
      <c r="A36" s="7" t="s">
        <v>134</v>
      </c>
      <c r="B36" t="s">
        <v>132</v>
      </c>
    </row>
    <row r="37" spans="1:2" x14ac:dyDescent="0.3">
      <c r="A37" s="8" t="s">
        <v>11</v>
      </c>
      <c r="B37" s="5">
        <v>777300</v>
      </c>
    </row>
    <row r="38" spans="1:2" x14ac:dyDescent="0.3">
      <c r="A38" s="8" t="s">
        <v>16</v>
      </c>
      <c r="B38" s="5">
        <v>1080600</v>
      </c>
    </row>
    <row r="39" spans="1:2" x14ac:dyDescent="0.3">
      <c r="A39" s="8" t="s">
        <v>25</v>
      </c>
      <c r="B39" s="5">
        <v>1043000</v>
      </c>
    </row>
    <row r="40" spans="1:2" x14ac:dyDescent="0.3">
      <c r="A40" s="8" t="s">
        <v>138</v>
      </c>
      <c r="B40" s="5">
        <v>2900900</v>
      </c>
    </row>
    <row r="51" spans="1:2" x14ac:dyDescent="0.3">
      <c r="A51" s="7" t="s">
        <v>134</v>
      </c>
      <c r="B51" t="s">
        <v>132</v>
      </c>
    </row>
    <row r="52" spans="1:2" x14ac:dyDescent="0.3">
      <c r="A52" s="8" t="s">
        <v>15</v>
      </c>
      <c r="B52" s="5">
        <v>804800</v>
      </c>
    </row>
    <row r="53" spans="1:2" x14ac:dyDescent="0.3">
      <c r="A53" s="8" t="s">
        <v>10</v>
      </c>
      <c r="B53" s="5">
        <v>758900</v>
      </c>
    </row>
    <row r="54" spans="1:2" x14ac:dyDescent="0.3">
      <c r="A54" s="8" t="s">
        <v>20</v>
      </c>
      <c r="B54" s="5">
        <v>368800</v>
      </c>
    </row>
    <row r="55" spans="1:2" x14ac:dyDescent="0.3">
      <c r="A55" s="8" t="s">
        <v>37</v>
      </c>
      <c r="B55" s="5">
        <v>287400</v>
      </c>
    </row>
    <row r="56" spans="1:2" x14ac:dyDescent="0.3">
      <c r="A56" s="8" t="s">
        <v>33</v>
      </c>
      <c r="B56" s="5">
        <v>405800</v>
      </c>
    </row>
    <row r="57" spans="1:2" x14ac:dyDescent="0.3">
      <c r="A57" s="8" t="s">
        <v>42</v>
      </c>
      <c r="B57" s="5">
        <v>275200</v>
      </c>
    </row>
    <row r="58" spans="1:2" x14ac:dyDescent="0.3">
      <c r="A58" s="8" t="s">
        <v>138</v>
      </c>
      <c r="B58" s="5">
        <v>2900900</v>
      </c>
    </row>
    <row r="66" spans="1:11" x14ac:dyDescent="0.3">
      <c r="A66" s="7" t="s">
        <v>134</v>
      </c>
      <c r="B66" t="s">
        <v>132</v>
      </c>
    </row>
    <row r="67" spans="1:11" x14ac:dyDescent="0.3">
      <c r="A67" s="8" t="s">
        <v>22</v>
      </c>
      <c r="B67" s="5">
        <v>439000</v>
      </c>
    </row>
    <row r="68" spans="1:11" x14ac:dyDescent="0.3">
      <c r="A68" s="8" t="s">
        <v>13</v>
      </c>
      <c r="B68" s="5">
        <v>688300</v>
      </c>
    </row>
    <row r="69" spans="1:11" x14ac:dyDescent="0.3">
      <c r="A69" s="8" t="s">
        <v>8</v>
      </c>
      <c r="B69" s="5">
        <v>1316200</v>
      </c>
    </row>
    <row r="70" spans="1:11" x14ac:dyDescent="0.3">
      <c r="A70" s="8" t="s">
        <v>18</v>
      </c>
      <c r="B70" s="5">
        <v>457400</v>
      </c>
    </row>
    <row r="71" spans="1:11" x14ac:dyDescent="0.3">
      <c r="A71" s="8" t="s">
        <v>138</v>
      </c>
      <c r="B71" s="5">
        <v>2900900</v>
      </c>
    </row>
    <row r="77" spans="1:11" x14ac:dyDescent="0.3">
      <c r="A77" s="7" t="s">
        <v>134</v>
      </c>
      <c r="B77" t="s">
        <v>140</v>
      </c>
      <c r="D77" s="7" t="s">
        <v>134</v>
      </c>
      <c r="E77" t="s">
        <v>140</v>
      </c>
      <c r="G77" s="7" t="s">
        <v>134</v>
      </c>
      <c r="H77" t="s">
        <v>139</v>
      </c>
      <c r="J77" s="7" t="s">
        <v>134</v>
      </c>
      <c r="K77" t="s">
        <v>139</v>
      </c>
    </row>
    <row r="78" spans="1:11" x14ac:dyDescent="0.3">
      <c r="A78" s="8" t="s">
        <v>23</v>
      </c>
      <c r="B78">
        <v>16</v>
      </c>
      <c r="D78" s="8" t="s">
        <v>23</v>
      </c>
      <c r="E78">
        <v>16</v>
      </c>
      <c r="G78" s="8" t="s">
        <v>23</v>
      </c>
      <c r="H78" s="5">
        <v>27437.5</v>
      </c>
      <c r="J78" s="8" t="s">
        <v>18</v>
      </c>
      <c r="K78" s="5">
        <v>30493.333333333332</v>
      </c>
    </row>
    <row r="79" spans="1:11" x14ac:dyDescent="0.3">
      <c r="A79" s="8" t="s">
        <v>14</v>
      </c>
      <c r="B79">
        <v>24</v>
      </c>
      <c r="D79" s="8" t="s">
        <v>14</v>
      </c>
      <c r="E79">
        <v>24</v>
      </c>
      <c r="G79" s="8" t="s">
        <v>14</v>
      </c>
      <c r="H79" s="5">
        <v>28679.166666666668</v>
      </c>
      <c r="J79" s="8" t="s">
        <v>138</v>
      </c>
      <c r="K79" s="5">
        <v>30493.333333333332</v>
      </c>
    </row>
    <row r="80" spans="1:11" x14ac:dyDescent="0.3">
      <c r="A80" s="8" t="s">
        <v>9</v>
      </c>
      <c r="B80">
        <v>23</v>
      </c>
      <c r="D80" s="8" t="s">
        <v>9</v>
      </c>
      <c r="E80">
        <v>23</v>
      </c>
      <c r="G80" s="8" t="s">
        <v>9</v>
      </c>
      <c r="H80" s="5">
        <v>29217.391304347828</v>
      </c>
    </row>
    <row r="81" spans="1:8" x14ac:dyDescent="0.3">
      <c r="A81" s="8" t="s">
        <v>30</v>
      </c>
      <c r="B81">
        <v>22</v>
      </c>
      <c r="D81" s="8" t="s">
        <v>30</v>
      </c>
      <c r="E81">
        <v>22</v>
      </c>
      <c r="G81" s="8" t="s">
        <v>30</v>
      </c>
      <c r="H81" s="5">
        <v>29281.81818181818</v>
      </c>
    </row>
    <row r="82" spans="1:8" x14ac:dyDescent="0.3">
      <c r="A82" s="8" t="s">
        <v>19</v>
      </c>
      <c r="B82">
        <v>15</v>
      </c>
      <c r="D82" s="8" t="s">
        <v>19</v>
      </c>
      <c r="E82">
        <v>15</v>
      </c>
      <c r="G82" s="8" t="s">
        <v>19</v>
      </c>
      <c r="H82" s="5">
        <v>30493.333333333332</v>
      </c>
    </row>
    <row r="83" spans="1:8" x14ac:dyDescent="0.3">
      <c r="A83" s="8" t="s">
        <v>138</v>
      </c>
      <c r="B83">
        <v>100</v>
      </c>
      <c r="D83" s="8" t="s">
        <v>138</v>
      </c>
      <c r="E83">
        <v>100</v>
      </c>
      <c r="G83" s="8" t="s">
        <v>138</v>
      </c>
      <c r="H83" s="5">
        <v>29009</v>
      </c>
    </row>
  </sheetData>
  <pageMargins left="0.7" right="0.7" top="0.75" bottom="0.75" header="0.3" footer="0.3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C6E8-214E-4AA9-B52B-169CC764085D}">
  <sheetPr>
    <tabColor theme="8" tint="0.59999389629810485"/>
  </sheetPr>
  <dimension ref="A1"/>
  <sheetViews>
    <sheetView topLeftCell="C9" zoomScale="65" zoomScaleNormal="40" workbookViewId="0">
      <selection activeCell="L54" sqref="L54"/>
    </sheetView>
  </sheetViews>
  <sheetFormatPr defaultColWidth="8.88671875" defaultRowHeight="14.4" x14ac:dyDescent="0.3"/>
  <cols>
    <col min="1" max="16384" width="8.88671875" style="9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7316A-3C69-45A9-AE1F-62216EB7A3E9}">
  <sheetPr>
    <tabColor theme="9" tint="0.59999389629810485"/>
  </sheetPr>
  <dimension ref="A1:X49"/>
  <sheetViews>
    <sheetView showGridLines="0" zoomScale="71" zoomScaleNormal="55" workbookViewId="0">
      <selection activeCell="W26" sqref="W26"/>
    </sheetView>
  </sheetViews>
  <sheetFormatPr defaultColWidth="11.5546875" defaultRowHeight="14.4" x14ac:dyDescent="0.3"/>
  <cols>
    <col min="1" max="1" width="3.6640625" customWidth="1"/>
    <col min="2" max="2" width="10.77734375" customWidth="1"/>
    <col min="18" max="18" width="10.21875" customWidth="1"/>
  </cols>
  <sheetData>
    <row r="1" spans="1:2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4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4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W3" s="16"/>
      <c r="X3" t="s">
        <v>144</v>
      </c>
    </row>
    <row r="4" spans="1:2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W4" s="12"/>
      <c r="X4" t="s">
        <v>141</v>
      </c>
    </row>
    <row r="5" spans="1:24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W5" s="13"/>
      <c r="X5" t="s">
        <v>142</v>
      </c>
    </row>
    <row r="6" spans="1:24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W6" s="14"/>
      <c r="X6" t="s">
        <v>143</v>
      </c>
    </row>
    <row r="7" spans="1:24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W7" s="15"/>
    </row>
    <row r="8" spans="1:24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4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4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4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4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4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4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4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4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 x14ac:dyDescent="0.3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0"/>
      <c r="U32" s="10"/>
    </row>
    <row r="33" spans="1:21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0"/>
      <c r="U33" s="10"/>
    </row>
    <row r="34" spans="1:21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0"/>
      <c r="U34" s="10"/>
    </row>
    <row r="35" spans="1:2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0"/>
      <c r="U35" s="10"/>
    </row>
    <row r="36" spans="1:21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0"/>
      <c r="U36" s="10"/>
    </row>
    <row r="37" spans="1:21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0"/>
      <c r="U37" s="10"/>
    </row>
    <row r="38" spans="1:2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0"/>
      <c r="U38" s="10"/>
    </row>
    <row r="39" spans="1:2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 x14ac:dyDescent="0.3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 x14ac:dyDescent="0.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EBAE6276-AFEC-4B20-8562-EDE1E7783A06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607CE8A2-79D0-484D-B773-0398988FA011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46D0C4AA-F625-4B29-8C5F-432AF3E9D56D}">
  <ds:schemaRefs>
    <ds:schemaRef ds:uri="http://gemini/pivotcustomization/TableXML_Ventas"/>
  </ds:schemaRefs>
</ds:datastoreItem>
</file>

<file path=customXml/itemProps4.xml><?xml version="1.0" encoding="utf-8"?>
<ds:datastoreItem xmlns:ds="http://schemas.openxmlformats.org/officeDocument/2006/customXml" ds:itemID="{E6F33BD4-649D-4EA3-9969-A2823568A239}">
  <ds:schemaRefs>
    <ds:schemaRef ds:uri="http://gemini/pivotcustomization/ManualCalcMode"/>
  </ds:schemaRefs>
</ds:datastoreItem>
</file>

<file path=customXml/itemProps5.xml><?xml version="1.0" encoding="utf-8"?>
<ds:datastoreItem xmlns:ds="http://schemas.openxmlformats.org/officeDocument/2006/customXml" ds:itemID="{66104EA3-6F02-4A4A-B7FB-82D09C6E29FB}">
  <ds:schemaRefs>
    <ds:schemaRef ds:uri="http://gemini/pivotcustomization/ShowImplicitMeasures"/>
  </ds:schemaRefs>
</ds:datastoreItem>
</file>

<file path=customXml/itemProps6.xml><?xml version="1.0" encoding="utf-8"?>
<ds:datastoreItem xmlns:ds="http://schemas.openxmlformats.org/officeDocument/2006/customXml" ds:itemID="{9FA03071-BB04-4419-8B14-F6A87430D06B}">
  <ds:schemaRefs/>
</ds:datastoreItem>
</file>

<file path=customXml/itemProps7.xml><?xml version="1.0" encoding="utf-8"?>
<ds:datastoreItem xmlns:ds="http://schemas.openxmlformats.org/officeDocument/2006/customXml" ds:itemID="{95058C14-8744-47A8-BC71-25D700A04083}">
  <ds:schemaRefs/>
</ds:datastoreItem>
</file>

<file path=customXml/itemProps8.xml><?xml version="1.0" encoding="utf-8"?>
<ds:datastoreItem xmlns:ds="http://schemas.openxmlformats.org/officeDocument/2006/customXml" ds:itemID="{6C9C5107-ED71-4608-9BFA-E29CE67FA9E3}">
  <ds:schemaRefs/>
</ds:datastoreItem>
</file>

<file path=customXml/itemProps9.xml><?xml version="1.0" encoding="utf-8"?>
<ds:datastoreItem xmlns:ds="http://schemas.openxmlformats.org/officeDocument/2006/customXml" ds:itemID="{7F106C19-5656-4AB7-8682-0C0A140BFC62}">
  <ds:schemaRefs/>
</ds:datastoreItem>
</file>

<file path=customXml/itemProps10.xml><?xml version="1.0" encoding="utf-8"?>
<ds:datastoreItem xmlns:ds="http://schemas.openxmlformats.org/officeDocument/2006/customXml" ds:itemID="{66F4B281-588C-476A-A86E-723E6E4FD050}">
  <ds:schemaRefs>
    <ds:schemaRef ds:uri="http://gemini/pivotcustomization/ClientWindowXML"/>
  </ds:schemaRefs>
</ds:datastoreItem>
</file>

<file path=customXml/itemProps11.xml><?xml version="1.0" encoding="utf-8"?>
<ds:datastoreItem xmlns:ds="http://schemas.openxmlformats.org/officeDocument/2006/customXml" ds:itemID="{B26B366D-5610-411A-A2F3-65D17B51BD0E}">
  <ds:schemaRefs/>
</ds:datastoreItem>
</file>

<file path=customXml/itemProps12.xml><?xml version="1.0" encoding="utf-8"?>
<ds:datastoreItem xmlns:ds="http://schemas.openxmlformats.org/officeDocument/2006/customXml" ds:itemID="{34F4869D-A5D1-498B-8D45-1D1ADC031485}">
  <ds:schemaRefs/>
</ds:datastoreItem>
</file>

<file path=customXml/itemProps13.xml><?xml version="1.0" encoding="utf-8"?>
<ds:datastoreItem xmlns:ds="http://schemas.openxmlformats.org/officeDocument/2006/customXml" ds:itemID="{786736C4-A3E7-45E6-940A-9B01FCA42E92}">
  <ds:schemaRefs>
    <ds:schemaRef ds:uri="http://gemini/pivotcustomization/FormulaBarState"/>
  </ds:schemaRefs>
</ds:datastoreItem>
</file>

<file path=customXml/itemProps14.xml><?xml version="1.0" encoding="utf-8"?>
<ds:datastoreItem xmlns:ds="http://schemas.openxmlformats.org/officeDocument/2006/customXml" ds:itemID="{04CA279A-ED41-4BE7-A9F8-D16FBC8BBD2E}">
  <ds:schemaRefs>
    <ds:schemaRef ds:uri="http://gemini/pivotcustomization/TableWidget"/>
  </ds:schemaRefs>
</ds:datastoreItem>
</file>

<file path=customXml/itemProps15.xml><?xml version="1.0" encoding="utf-8"?>
<ds:datastoreItem xmlns:ds="http://schemas.openxmlformats.org/officeDocument/2006/customXml" ds:itemID="{4A5B7AB2-0C3D-4017-A47D-F8768F2B1442}">
  <ds:schemaRefs/>
</ds:datastoreItem>
</file>

<file path=customXml/itemProps16.xml><?xml version="1.0" encoding="utf-8"?>
<ds:datastoreItem xmlns:ds="http://schemas.openxmlformats.org/officeDocument/2006/customXml" ds:itemID="{943FF5A8-B5F9-4708-B38B-776D08623948}">
  <ds:schemaRefs>
    <ds:schemaRef ds:uri="http://gemini/pivotcustomization/ShowHidde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Hoja1</vt:lpstr>
      <vt:lpstr>Tablas Dinamicas</vt:lpstr>
      <vt:lpstr>Dashboard</vt:lpstr>
      <vt:lpstr>Dashboard 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ANDRES VELOZ JIMBO</dc:creator>
  <cp:keywords/>
  <dc:description/>
  <cp:lastModifiedBy>GABRIEL SEBASTIAN DEL VALLE LASCANO</cp:lastModifiedBy>
  <cp:revision/>
  <dcterms:created xsi:type="dcterms:W3CDTF">2024-12-04T02:48:49Z</dcterms:created>
  <dcterms:modified xsi:type="dcterms:W3CDTF">2025-10-13T22:38:33Z</dcterms:modified>
  <cp:category/>
  <cp:contentStatus/>
</cp:coreProperties>
</file>